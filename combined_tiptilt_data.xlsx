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sutton/Documents/CMR Lab/NASA/Model T Paper/Flasher_heat_plotPython/"/>
    </mc:Choice>
  </mc:AlternateContent>
  <xr:revisionPtr revIDLastSave="0" documentId="13_ncr:1_{2FDDDF33-9407-9D4B-B773-1D110B6BDC9C}" xr6:coauthVersionLast="47" xr6:coauthVersionMax="47" xr10:uidLastSave="{00000000-0000-0000-0000-000000000000}"/>
  <bookViews>
    <workbookView xWindow="40860" yWindow="-18600" windowWidth="35420" windowHeight="25620" activeTab="3" xr2:uid="{3FE5A48C-52D2-4C42-88F6-E05F5010E018}"/>
  </bookViews>
  <sheets>
    <sheet name="Deployment1" sheetId="1" r:id="rId1"/>
    <sheet name="Deployment2" sheetId="3" r:id="rId2"/>
    <sheet name="Deployment3" sheetId="4" r:id="rId3"/>
    <sheet name="Deployment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5" l="1"/>
  <c r="D33" i="5"/>
  <c r="E33" i="5"/>
  <c r="F33" i="5"/>
  <c r="G33" i="5"/>
  <c r="H33" i="5"/>
  <c r="C34" i="5" a="1"/>
  <c r="C34" i="5" s="1"/>
  <c r="D34" i="5" a="1"/>
  <c r="D34" i="5" s="1"/>
  <c r="E34" i="5" a="1"/>
  <c r="E34" i="5" s="1"/>
  <c r="F34" i="5" a="1"/>
  <c r="F34" i="5" s="1"/>
  <c r="G34" i="5" a="1"/>
  <c r="G34" i="5"/>
  <c r="H34" i="5" a="1"/>
  <c r="H34" i="5" s="1"/>
  <c r="C33" i="4"/>
  <c r="D33" i="4"/>
  <c r="E33" i="4"/>
  <c r="F33" i="4"/>
  <c r="G33" i="4"/>
  <c r="H33" i="4"/>
  <c r="C34" i="4" a="1"/>
  <c r="C34" i="4" s="1"/>
  <c r="D34" i="4" a="1"/>
  <c r="D34" i="4" s="1"/>
  <c r="E34" i="4" a="1"/>
  <c r="E34" i="4" s="1"/>
  <c r="F34" i="4" a="1"/>
  <c r="F34" i="4" s="1"/>
  <c r="G34" i="4" a="1"/>
  <c r="G34" i="4" s="1"/>
  <c r="H34" i="4" a="1"/>
  <c r="H34" i="4" s="1"/>
  <c r="C33" i="3"/>
  <c r="D33" i="3"/>
  <c r="E33" i="3"/>
  <c r="F33" i="3"/>
  <c r="G33" i="3"/>
  <c r="H33" i="3"/>
  <c r="C34" i="3" a="1"/>
  <c r="C34" i="3" s="1"/>
  <c r="D34" i="3" a="1"/>
  <c r="D34" i="3" s="1"/>
  <c r="E34" i="3" a="1"/>
  <c r="E34" i="3" s="1"/>
  <c r="F34" i="3" a="1"/>
  <c r="F34" i="3" s="1"/>
  <c r="G34" i="3" a="1"/>
  <c r="G34" i="3" s="1"/>
  <c r="H34" i="3" a="1"/>
  <c r="H34" i="3" s="1"/>
  <c r="F33" i="1"/>
  <c r="D34" i="1" a="1"/>
  <c r="D34" i="1" s="1"/>
  <c r="E34" i="1" a="1"/>
  <c r="E34" i="1" s="1"/>
  <c r="F34" i="1" a="1"/>
  <c r="F34" i="1" s="1"/>
  <c r="G34" i="1" a="1"/>
  <c r="G34" i="1" s="1"/>
  <c r="H34" i="1" a="1"/>
  <c r="H34" i="1" s="1"/>
  <c r="G33" i="1"/>
  <c r="H33" i="1"/>
  <c r="D33" i="1"/>
  <c r="E33" i="1"/>
  <c r="C34" i="1" a="1"/>
  <c r="C34" i="1" s="1"/>
  <c r="C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<sst xmlns="http://schemas.openxmlformats.org/spreadsheetml/2006/main" count="271" uniqueCount="47">
  <si>
    <t>Local</t>
  </si>
  <si>
    <t>Global</t>
  </si>
  <si>
    <t>Tip (deg)</t>
  </si>
  <si>
    <t>Tilt (deg)</t>
  </si>
  <si>
    <t>Rotation (deg)</t>
  </si>
  <si>
    <t>X De-center (mm)</t>
  </si>
  <si>
    <t>Y De-center (mm)</t>
  </si>
  <si>
    <t>Flatness (mm)</t>
  </si>
  <si>
    <t>n/a</t>
  </si>
  <si>
    <t>Aperture</t>
  </si>
  <si>
    <t>All</t>
  </si>
  <si>
    <t>Ap1G1</t>
  </si>
  <si>
    <t>Ap1G2</t>
  </si>
  <si>
    <t>Ap1G3</t>
  </si>
  <si>
    <t>Ap1G4</t>
  </si>
  <si>
    <t>Ap1G5</t>
  </si>
  <si>
    <t>Ap2G1</t>
  </si>
  <si>
    <t>Ap2G2</t>
  </si>
  <si>
    <t>Ap2G3</t>
  </si>
  <si>
    <t>Ap2G4</t>
  </si>
  <si>
    <t>Ap2G5</t>
  </si>
  <si>
    <t>Ap3G1</t>
  </si>
  <si>
    <t>Ap3G2</t>
  </si>
  <si>
    <t>Ap3G3</t>
  </si>
  <si>
    <t>Ap3G4</t>
  </si>
  <si>
    <t>Ap3G5</t>
  </si>
  <si>
    <t>Ap4G1</t>
  </si>
  <si>
    <t>Ap4G2</t>
  </si>
  <si>
    <t>Ap4G3</t>
  </si>
  <si>
    <t>Ap4G4</t>
  </si>
  <si>
    <t>Ap4G5</t>
  </si>
  <si>
    <t>Ap5G1</t>
  </si>
  <si>
    <t>Ap5G2</t>
  </si>
  <si>
    <t>Ap5G3</t>
  </si>
  <si>
    <t>Ap5G4</t>
  </si>
  <si>
    <t>Ap5G5</t>
  </si>
  <si>
    <t>Avg</t>
  </si>
  <si>
    <t>Max</t>
  </si>
  <si>
    <t>Deployment Success 1 Frame Scan</t>
  </si>
  <si>
    <t>Z De-center (mm)*</t>
  </si>
  <si>
    <t>*Z De-center can be shimmed on a flight system after test data is collected.</t>
  </si>
  <si>
    <t>Deployment Success 2 Frame Scan</t>
  </si>
  <si>
    <t>NO THE UPDATED VERSION!!!!</t>
  </si>
  <si>
    <t>THE OTHER SHEEST ARE THE UPDAED VERSION</t>
  </si>
  <si>
    <t xml:space="preserve">THE DE CETNER VALUES HERE ARE NOT GOOD </t>
  </si>
  <si>
    <t>Deployment Success 3 Frame Scan</t>
  </si>
  <si>
    <t>Deployment Success 4 Frame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</si>
</sst>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u/>
      <sz val="11"/>
      <color theme="1"/>
      <name val="Arial Narrow"/>
      <family val="2"/>
    </font>
    <font>
      <u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0</xdr:row>
      <xdr:rowOff>110490</xdr:rowOff>
    </xdr:from>
    <xdr:to>
      <xdr:col>18</xdr:col>
      <xdr:colOff>62865</xdr:colOff>
      <xdr:row>25</xdr:row>
      <xdr:rowOff>8174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B67E85C-86DF-F225-8F25-7BE6F0AD4E0A}"/>
            </a:ext>
          </a:extLst>
        </xdr:cNvPr>
        <xdr:cNvGrpSpPr/>
      </xdr:nvGrpSpPr>
      <xdr:grpSpPr>
        <a:xfrm>
          <a:off x="7270750" y="110490"/>
          <a:ext cx="5168945" cy="4371032"/>
          <a:chOff x="5022680" y="1344217"/>
          <a:chExt cx="3686110" cy="356164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110227D-567D-857A-7A5F-7D8B65EABE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022680" y="1344217"/>
            <a:ext cx="3686110" cy="3561643"/>
          </a:xfrm>
          <a:prstGeom prst="rect">
            <a:avLst/>
          </a:prstGeom>
        </xdr:spPr>
      </xdr:pic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369D3535-0E3F-758B-1A34-B2E30A2C0ACC}"/>
              </a:ext>
            </a:extLst>
          </xdr:cNvPr>
          <xdr:cNvGrpSpPr/>
        </xdr:nvGrpSpPr>
        <xdr:grpSpPr>
          <a:xfrm>
            <a:off x="5645900" y="1852532"/>
            <a:ext cx="2792531" cy="2606722"/>
            <a:chOff x="5265864" y="1783746"/>
            <a:chExt cx="2792531" cy="2606722"/>
          </a:xfrm>
        </xdr:grpSpPr>
        <xdr:sp macro="" textlink="">
          <xdr:nvSpPr>
            <xdr:cNvPr id="5" name="TextBox 11">
              <a:extLst>
                <a:ext uri="{FF2B5EF4-FFF2-40B4-BE49-F238E27FC236}">
                  <a16:creationId xmlns:a16="http://schemas.microsoft.com/office/drawing/2014/main" id="{5ACF50D7-072C-2B41-F94C-AC564ADB4EA9}"/>
                </a:ext>
              </a:extLst>
            </xdr:cNvPr>
            <xdr:cNvSpPr txBox="1"/>
          </xdr:nvSpPr>
          <xdr:spPr>
            <a:xfrm>
              <a:off x="6514937" y="3137551"/>
              <a:ext cx="423514" cy="20005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700">
                  <a:highlight>
                    <a:srgbClr val="FFFF00"/>
                  </a:highlight>
                </a:rPr>
                <a:t>Aper0</a:t>
              </a:r>
            </a:p>
          </xdr:txBody>
        </xdr:sp>
        <xdr:sp macro="" textlink="">
          <xdr:nvSpPr>
            <xdr:cNvPr id="6" name="TextBox 12">
              <a:extLst>
                <a:ext uri="{FF2B5EF4-FFF2-40B4-BE49-F238E27FC236}">
                  <a16:creationId xmlns:a16="http://schemas.microsoft.com/office/drawing/2014/main" id="{DBCAF5FF-A98C-EFCC-7327-071FF14051AD}"/>
                </a:ext>
              </a:extLst>
            </xdr:cNvPr>
            <xdr:cNvSpPr txBox="1"/>
          </xdr:nvSpPr>
          <xdr:spPr>
            <a:xfrm>
              <a:off x="6205949" y="2634782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G2Ap1</a:t>
              </a:r>
            </a:p>
          </xdr:txBody>
        </xdr:sp>
        <xdr:sp macro="" textlink="">
          <xdr:nvSpPr>
            <xdr:cNvPr id="7" name="TextBox 13">
              <a:extLst>
                <a:ext uri="{FF2B5EF4-FFF2-40B4-BE49-F238E27FC236}">
                  <a16:creationId xmlns:a16="http://schemas.microsoft.com/office/drawing/2014/main" id="{FD415BA6-61F0-6CD8-A394-C13AFADCC2BC}"/>
                </a:ext>
              </a:extLst>
            </xdr:cNvPr>
            <xdr:cNvSpPr txBox="1"/>
          </xdr:nvSpPr>
          <xdr:spPr>
            <a:xfrm>
              <a:off x="6193360" y="245156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G2Ap2</a:t>
              </a:r>
            </a:p>
          </xdr:txBody>
        </xdr:sp>
        <xdr:sp macro="" textlink="">
          <xdr:nvSpPr>
            <xdr:cNvPr id="8" name="TextBox 14">
              <a:extLst>
                <a:ext uri="{FF2B5EF4-FFF2-40B4-BE49-F238E27FC236}">
                  <a16:creationId xmlns:a16="http://schemas.microsoft.com/office/drawing/2014/main" id="{BF10069C-F4BC-2B14-C2D8-C2D5A985B778}"/>
                </a:ext>
              </a:extLst>
            </xdr:cNvPr>
            <xdr:cNvSpPr txBox="1"/>
          </xdr:nvSpPr>
          <xdr:spPr>
            <a:xfrm>
              <a:off x="5770676" y="280358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G1Ap3</a:t>
              </a:r>
            </a:p>
          </xdr:txBody>
        </xdr:sp>
        <xdr:sp macro="" textlink="">
          <xdr:nvSpPr>
            <xdr:cNvPr id="9" name="TextBox 15">
              <a:extLst>
                <a:ext uri="{FF2B5EF4-FFF2-40B4-BE49-F238E27FC236}">
                  <a16:creationId xmlns:a16="http://schemas.microsoft.com/office/drawing/2014/main" id="{81E229BF-3422-F7A9-A9AD-B35695E02E45}"/>
                </a:ext>
              </a:extLst>
            </xdr:cNvPr>
            <xdr:cNvSpPr txBox="1"/>
          </xdr:nvSpPr>
          <xdr:spPr>
            <a:xfrm>
              <a:off x="5720549" y="2336194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G1Ap4</a:t>
              </a:r>
            </a:p>
          </xdr:txBody>
        </xdr:sp>
        <xdr:sp macro="" textlink="">
          <xdr:nvSpPr>
            <xdr:cNvPr id="10" name="TextBox 16">
              <a:extLst>
                <a:ext uri="{FF2B5EF4-FFF2-40B4-BE49-F238E27FC236}">
                  <a16:creationId xmlns:a16="http://schemas.microsoft.com/office/drawing/2014/main" id="{E81B4816-A693-9C20-5B06-72EE0B90FDD5}"/>
                </a:ext>
              </a:extLst>
            </xdr:cNvPr>
            <xdr:cNvSpPr txBox="1"/>
          </xdr:nvSpPr>
          <xdr:spPr>
            <a:xfrm>
              <a:off x="5967238" y="178374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G1Ap5</a:t>
              </a:r>
            </a:p>
          </xdr:txBody>
        </xdr:sp>
        <xdr:sp macro="" textlink="">
          <xdr:nvSpPr>
            <xdr:cNvPr id="11" name="TextBox 17">
              <a:extLst>
                <a:ext uri="{FF2B5EF4-FFF2-40B4-BE49-F238E27FC236}">
                  <a16:creationId xmlns:a16="http://schemas.microsoft.com/office/drawing/2014/main" id="{8E6DB455-BE9D-0B79-493A-9BAECCAD6A7D}"/>
                </a:ext>
              </a:extLst>
            </xdr:cNvPr>
            <xdr:cNvSpPr txBox="1"/>
          </xdr:nvSpPr>
          <xdr:spPr>
            <a:xfrm>
              <a:off x="5944767" y="3145173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G1Ap2</a:t>
              </a:r>
            </a:p>
          </xdr:txBody>
        </xdr:sp>
        <xdr:sp macro="" textlink="">
          <xdr:nvSpPr>
            <xdr:cNvPr id="12" name="TextBox 18">
              <a:extLst>
                <a:ext uri="{FF2B5EF4-FFF2-40B4-BE49-F238E27FC236}">
                  <a16:creationId xmlns:a16="http://schemas.microsoft.com/office/drawing/2014/main" id="{D42641A9-BE19-6CAF-C055-84DF8CC79927}"/>
                </a:ext>
              </a:extLst>
            </xdr:cNvPr>
            <xdr:cNvSpPr txBox="1"/>
          </xdr:nvSpPr>
          <xdr:spPr>
            <a:xfrm>
              <a:off x="6466582" y="2234767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G2Ap3</a:t>
              </a:r>
            </a:p>
          </xdr:txBody>
        </xdr:sp>
        <xdr:sp macro="" textlink="">
          <xdr:nvSpPr>
            <xdr:cNvPr id="13" name="TextBox 19">
              <a:extLst>
                <a:ext uri="{FF2B5EF4-FFF2-40B4-BE49-F238E27FC236}">
                  <a16:creationId xmlns:a16="http://schemas.microsoft.com/office/drawing/2014/main" id="{72052EAB-F92D-2578-D83C-519A64FDF192}"/>
                </a:ext>
              </a:extLst>
            </xdr:cNvPr>
            <xdr:cNvSpPr txBox="1"/>
          </xdr:nvSpPr>
          <xdr:spPr>
            <a:xfrm>
              <a:off x="6841078" y="1982039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G2Ap4</a:t>
              </a:r>
            </a:p>
          </xdr:txBody>
        </xdr:sp>
        <xdr:sp macro="" textlink="">
          <xdr:nvSpPr>
            <xdr:cNvPr id="14" name="TextBox 20">
              <a:extLst>
                <a:ext uri="{FF2B5EF4-FFF2-40B4-BE49-F238E27FC236}">
                  <a16:creationId xmlns:a16="http://schemas.microsoft.com/office/drawing/2014/main" id="{18D51220-E3F2-6EE5-1D9B-C362009213E5}"/>
                </a:ext>
              </a:extLst>
            </xdr:cNvPr>
            <xdr:cNvSpPr txBox="1"/>
          </xdr:nvSpPr>
          <xdr:spPr>
            <a:xfrm>
              <a:off x="7419566" y="205393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G2Ap5</a:t>
              </a:r>
            </a:p>
          </xdr:txBody>
        </xdr:sp>
        <xdr:sp macro="" textlink="">
          <xdr:nvSpPr>
            <xdr:cNvPr id="15" name="TextBox 21">
              <a:extLst>
                <a:ext uri="{FF2B5EF4-FFF2-40B4-BE49-F238E27FC236}">
                  <a16:creationId xmlns:a16="http://schemas.microsoft.com/office/drawing/2014/main" id="{D05DC899-8BC5-4668-D535-32620E7EEE69}"/>
                </a:ext>
              </a:extLst>
            </xdr:cNvPr>
            <xdr:cNvSpPr txBox="1"/>
          </xdr:nvSpPr>
          <xdr:spPr>
            <a:xfrm>
              <a:off x="6688661" y="253360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G3Ap1</a:t>
              </a:r>
            </a:p>
          </xdr:txBody>
        </xdr:sp>
        <xdr:sp macro="" textlink="">
          <xdr:nvSpPr>
            <xdr:cNvPr id="16" name="TextBox 22">
              <a:extLst>
                <a:ext uri="{FF2B5EF4-FFF2-40B4-BE49-F238E27FC236}">
                  <a16:creationId xmlns:a16="http://schemas.microsoft.com/office/drawing/2014/main" id="{AAD1F8D2-89EA-242C-5839-EDB3360FF984}"/>
                </a:ext>
              </a:extLst>
            </xdr:cNvPr>
            <xdr:cNvSpPr txBox="1"/>
          </xdr:nvSpPr>
          <xdr:spPr>
            <a:xfrm>
              <a:off x="6907841" y="241059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G3Ap2</a:t>
              </a:r>
            </a:p>
          </xdr:txBody>
        </xdr:sp>
        <xdr:sp macro="" textlink="">
          <xdr:nvSpPr>
            <xdr:cNvPr id="17" name="TextBox 23">
              <a:extLst>
                <a:ext uri="{FF2B5EF4-FFF2-40B4-BE49-F238E27FC236}">
                  <a16:creationId xmlns:a16="http://schemas.microsoft.com/office/drawing/2014/main" id="{B719F3FB-5FE7-6E16-8103-7D94233ED4CD}"/>
                </a:ext>
              </a:extLst>
            </xdr:cNvPr>
            <xdr:cNvSpPr txBox="1"/>
          </xdr:nvSpPr>
          <xdr:spPr>
            <a:xfrm>
              <a:off x="7243238" y="2592480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G3Ap3</a:t>
              </a:r>
            </a:p>
          </xdr:txBody>
        </xdr:sp>
        <xdr:sp macro="" textlink="">
          <xdr:nvSpPr>
            <xdr:cNvPr id="18" name="TextBox 24">
              <a:extLst>
                <a:ext uri="{FF2B5EF4-FFF2-40B4-BE49-F238E27FC236}">
                  <a16:creationId xmlns:a16="http://schemas.microsoft.com/office/drawing/2014/main" id="{070B9525-882B-F279-EF72-DEBB42A51351}"/>
                </a:ext>
              </a:extLst>
            </xdr:cNvPr>
            <xdr:cNvSpPr txBox="1"/>
          </xdr:nvSpPr>
          <xdr:spPr>
            <a:xfrm>
              <a:off x="7576650" y="2940982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G3Ap4</a:t>
              </a:r>
            </a:p>
          </xdr:txBody>
        </xdr:sp>
        <xdr:sp macro="" textlink="">
          <xdr:nvSpPr>
            <xdr:cNvPr id="19" name="TextBox 25">
              <a:extLst>
                <a:ext uri="{FF2B5EF4-FFF2-40B4-BE49-F238E27FC236}">
                  <a16:creationId xmlns:a16="http://schemas.microsoft.com/office/drawing/2014/main" id="{E21CD675-E68F-6CDC-1A97-EDCDABEE1D48}"/>
                </a:ext>
              </a:extLst>
            </xdr:cNvPr>
            <xdr:cNvSpPr txBox="1"/>
          </xdr:nvSpPr>
          <xdr:spPr>
            <a:xfrm>
              <a:off x="7674957" y="3530077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G3Ap5</a:t>
              </a:r>
            </a:p>
          </xdr:txBody>
        </xdr:sp>
        <xdr:sp macro="" textlink="">
          <xdr:nvSpPr>
            <xdr:cNvPr id="20" name="TextBox 26">
              <a:extLst>
                <a:ext uri="{FF2B5EF4-FFF2-40B4-BE49-F238E27FC236}">
                  <a16:creationId xmlns:a16="http://schemas.microsoft.com/office/drawing/2014/main" id="{A62E3B03-1959-C69A-331B-064FC0571639}"/>
                </a:ext>
              </a:extLst>
            </xdr:cNvPr>
            <xdr:cNvSpPr txBox="1"/>
          </xdr:nvSpPr>
          <xdr:spPr>
            <a:xfrm>
              <a:off x="7000551" y="2952058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G4Ap1</a:t>
              </a:r>
            </a:p>
          </xdr:txBody>
        </xdr:sp>
        <xdr:sp macro="" textlink="">
          <xdr:nvSpPr>
            <xdr:cNvPr id="21" name="TextBox 27">
              <a:extLst>
                <a:ext uri="{FF2B5EF4-FFF2-40B4-BE49-F238E27FC236}">
                  <a16:creationId xmlns:a16="http://schemas.microsoft.com/office/drawing/2014/main" id="{D255F97F-D064-8C4A-D81C-DC7D58455F0E}"/>
                </a:ext>
              </a:extLst>
            </xdr:cNvPr>
            <xdr:cNvSpPr txBox="1"/>
          </xdr:nvSpPr>
          <xdr:spPr>
            <a:xfrm>
              <a:off x="7146932" y="3130380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G4Ap2</a:t>
              </a:r>
            </a:p>
          </xdr:txBody>
        </xdr:sp>
        <xdr:sp macro="" textlink="">
          <xdr:nvSpPr>
            <xdr:cNvPr id="22" name="TextBox 28">
              <a:extLst>
                <a:ext uri="{FF2B5EF4-FFF2-40B4-BE49-F238E27FC236}">
                  <a16:creationId xmlns:a16="http://schemas.microsoft.com/office/drawing/2014/main" id="{020B7BD9-23C8-6C48-6B3B-E894F95ED0E8}"/>
                </a:ext>
              </a:extLst>
            </xdr:cNvPr>
            <xdr:cNvSpPr txBox="1"/>
          </xdr:nvSpPr>
          <xdr:spPr>
            <a:xfrm>
              <a:off x="7087199" y="3487127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G4Ap3</a:t>
              </a:r>
            </a:p>
          </xdr:txBody>
        </xdr:sp>
        <xdr:sp macro="" textlink="">
          <xdr:nvSpPr>
            <xdr:cNvPr id="23" name="TextBox 29">
              <a:extLst>
                <a:ext uri="{FF2B5EF4-FFF2-40B4-BE49-F238E27FC236}">
                  <a16:creationId xmlns:a16="http://schemas.microsoft.com/office/drawing/2014/main" id="{01736D2C-3EC7-EABE-CA23-D80C5F738CBE}"/>
                </a:ext>
              </a:extLst>
            </xdr:cNvPr>
            <xdr:cNvSpPr txBox="1"/>
          </xdr:nvSpPr>
          <xdr:spPr>
            <a:xfrm>
              <a:off x="6945404" y="3905332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G4Ap4</a:t>
              </a:r>
            </a:p>
          </xdr:txBody>
        </xdr:sp>
        <xdr:sp macro="" textlink="">
          <xdr:nvSpPr>
            <xdr:cNvPr id="24" name="TextBox 30">
              <a:extLst>
                <a:ext uri="{FF2B5EF4-FFF2-40B4-BE49-F238E27FC236}">
                  <a16:creationId xmlns:a16="http://schemas.microsoft.com/office/drawing/2014/main" id="{7D808EA3-82F4-A35A-CDCF-32CF8772C940}"/>
                </a:ext>
              </a:extLst>
            </xdr:cNvPr>
            <xdr:cNvSpPr txBox="1"/>
          </xdr:nvSpPr>
          <xdr:spPr>
            <a:xfrm>
              <a:off x="6370247" y="4221191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G4Ap5</a:t>
              </a:r>
            </a:p>
          </xdr:txBody>
        </xdr:sp>
        <xdr:sp macro="" textlink="">
          <xdr:nvSpPr>
            <xdr:cNvPr id="25" name="TextBox 31">
              <a:extLst>
                <a:ext uri="{FF2B5EF4-FFF2-40B4-BE49-F238E27FC236}">
                  <a16:creationId xmlns:a16="http://schemas.microsoft.com/office/drawing/2014/main" id="{545A1963-C82C-E9F3-3381-ED3900843B0A}"/>
                </a:ext>
              </a:extLst>
            </xdr:cNvPr>
            <xdr:cNvSpPr txBox="1"/>
          </xdr:nvSpPr>
          <xdr:spPr>
            <a:xfrm>
              <a:off x="6621090" y="3360921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G5Ap1</a:t>
              </a:r>
            </a:p>
          </xdr:txBody>
        </xdr:sp>
        <xdr:sp macro="" textlink="">
          <xdr:nvSpPr>
            <xdr:cNvPr id="26" name="TextBox 32">
              <a:extLst>
                <a:ext uri="{FF2B5EF4-FFF2-40B4-BE49-F238E27FC236}">
                  <a16:creationId xmlns:a16="http://schemas.microsoft.com/office/drawing/2014/main" id="{136E4B3E-4AA1-BCDE-DD43-2AAD0D88E7EE}"/>
                </a:ext>
              </a:extLst>
            </xdr:cNvPr>
            <xdr:cNvSpPr txBox="1"/>
          </xdr:nvSpPr>
          <xdr:spPr>
            <a:xfrm>
              <a:off x="6561966" y="3590807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G5Ap2</a:t>
              </a:r>
            </a:p>
          </xdr:txBody>
        </xdr:sp>
        <xdr:sp macro="" textlink="">
          <xdr:nvSpPr>
            <xdr:cNvPr id="27" name="TextBox 33">
              <a:extLst>
                <a:ext uri="{FF2B5EF4-FFF2-40B4-BE49-F238E27FC236}">
                  <a16:creationId xmlns:a16="http://schemas.microsoft.com/office/drawing/2014/main" id="{92E666E6-3FA1-80B5-4C12-FBE8B2DEEF77}"/>
                </a:ext>
              </a:extLst>
            </xdr:cNvPr>
            <xdr:cNvSpPr txBox="1"/>
          </xdr:nvSpPr>
          <xdr:spPr>
            <a:xfrm>
              <a:off x="6205949" y="3614983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G5Ap3</a:t>
              </a:r>
            </a:p>
          </xdr:txBody>
        </xdr:sp>
        <xdr:sp macro="" textlink="">
          <xdr:nvSpPr>
            <xdr:cNvPr id="28" name="TextBox 34">
              <a:extLst>
                <a:ext uri="{FF2B5EF4-FFF2-40B4-BE49-F238E27FC236}">
                  <a16:creationId xmlns:a16="http://schemas.microsoft.com/office/drawing/2014/main" id="{D81BFD79-6DFD-364E-0BE9-B0F7A6A774B3}"/>
                </a:ext>
              </a:extLst>
            </xdr:cNvPr>
            <xdr:cNvSpPr txBox="1"/>
          </xdr:nvSpPr>
          <xdr:spPr>
            <a:xfrm>
              <a:off x="5695552" y="3548999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G5Ap4</a:t>
              </a:r>
            </a:p>
          </xdr:txBody>
        </xdr:sp>
        <xdr:sp macro="" textlink="">
          <xdr:nvSpPr>
            <xdr:cNvPr id="29" name="TextBox 35">
              <a:extLst>
                <a:ext uri="{FF2B5EF4-FFF2-40B4-BE49-F238E27FC236}">
                  <a16:creationId xmlns:a16="http://schemas.microsoft.com/office/drawing/2014/main" id="{D2F5A8B6-9E61-E5A4-EC3A-D9D576825D54}"/>
                </a:ext>
              </a:extLst>
            </xdr:cNvPr>
            <xdr:cNvSpPr txBox="1"/>
          </xdr:nvSpPr>
          <xdr:spPr>
            <a:xfrm>
              <a:off x="6169707" y="322233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G1Ap1</a:t>
              </a:r>
            </a:p>
          </xdr:txBody>
        </xdr:sp>
        <xdr:sp macro="" textlink="">
          <xdr:nvSpPr>
            <xdr:cNvPr id="30" name="TextBox 36">
              <a:extLst>
                <a:ext uri="{FF2B5EF4-FFF2-40B4-BE49-F238E27FC236}">
                  <a16:creationId xmlns:a16="http://schemas.microsoft.com/office/drawing/2014/main" id="{C03CD2C2-B54F-AC0E-2694-F4BA2E5A344F}"/>
                </a:ext>
              </a:extLst>
            </xdr:cNvPr>
            <xdr:cNvSpPr txBox="1"/>
          </xdr:nvSpPr>
          <xdr:spPr>
            <a:xfrm>
              <a:off x="5265864" y="3083133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G5Ap5</a:t>
              </a:r>
            </a:p>
          </xdr:txBody>
        </xdr:sp>
        <xdr:cxnSp macro="">
          <xdr:nvCxnSpPr>
            <xdr:cNvPr id="31" name="Straight Arrow Connector 30">
              <a:extLst>
                <a:ext uri="{FF2B5EF4-FFF2-40B4-BE49-F238E27FC236}">
                  <a16:creationId xmlns:a16="http://schemas.microsoft.com/office/drawing/2014/main" id="{6DEE8F47-8879-19C4-5F3C-092D1FBFE2D8}"/>
                </a:ext>
              </a:extLst>
            </xdr:cNvPr>
            <xdr:cNvCxnSpPr>
              <a:cxnSpLocks/>
            </xdr:cNvCxnSpPr>
          </xdr:nvCxnSpPr>
          <xdr:spPr>
            <a:xfrm flipV="1">
              <a:off x="6721811" y="3025621"/>
              <a:ext cx="253883" cy="5982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0E9BF02F-7E2F-C108-23D5-24E143D547C1}"/>
                </a:ext>
              </a:extLst>
            </xdr:cNvPr>
            <xdr:cNvCxnSpPr>
              <a:cxnSpLocks/>
            </xdr:cNvCxnSpPr>
          </xdr:nvCxnSpPr>
          <xdr:spPr>
            <a:xfrm flipV="1">
              <a:off x="6720091" y="2719485"/>
              <a:ext cx="6603" cy="333781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" name="TextBox 39">
              <a:extLst>
                <a:ext uri="{FF2B5EF4-FFF2-40B4-BE49-F238E27FC236}">
                  <a16:creationId xmlns:a16="http://schemas.microsoft.com/office/drawing/2014/main" id="{F6E1BEB9-9230-DC78-644F-5796833AFE6C}"/>
                </a:ext>
              </a:extLst>
            </xdr:cNvPr>
            <xdr:cNvSpPr txBox="1"/>
          </xdr:nvSpPr>
          <xdr:spPr>
            <a:xfrm>
              <a:off x="6807890" y="2843853"/>
              <a:ext cx="243978" cy="20005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700">
                  <a:highlight>
                    <a:srgbClr val="00FF00"/>
                  </a:highlight>
                </a:rPr>
                <a:t>X</a:t>
              </a:r>
            </a:p>
          </xdr:txBody>
        </xdr:sp>
        <xdr:sp macro="" textlink="">
          <xdr:nvSpPr>
            <xdr:cNvPr id="34" name="TextBox 40">
              <a:extLst>
                <a:ext uri="{FF2B5EF4-FFF2-40B4-BE49-F238E27FC236}">
                  <a16:creationId xmlns:a16="http://schemas.microsoft.com/office/drawing/2014/main" id="{69BEC244-D1CA-520C-FECE-FA4B94938DC3}"/>
                </a:ext>
              </a:extLst>
            </xdr:cNvPr>
            <xdr:cNvSpPr txBox="1"/>
          </xdr:nvSpPr>
          <xdr:spPr>
            <a:xfrm>
              <a:off x="6688661" y="2685122"/>
              <a:ext cx="243978" cy="20005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700">
                  <a:highlight>
                    <a:srgbClr val="00FF00"/>
                  </a:highlight>
                </a:rPr>
                <a:t>Y</a:t>
              </a:r>
            </a:p>
          </xdr:txBody>
        </xdr:sp>
      </xdr:grpSp>
    </xdr:grpSp>
    <xdr:clientData/>
  </xdr:twoCellAnchor>
  <xdr:twoCellAnchor editAs="oneCell">
    <xdr:from>
      <xdr:col>10</xdr:col>
      <xdr:colOff>285750</xdr:colOff>
      <xdr:row>26</xdr:row>
      <xdr:rowOff>123825</xdr:rowOff>
    </xdr:from>
    <xdr:to>
      <xdr:col>18</xdr:col>
      <xdr:colOff>194979</xdr:colOff>
      <xdr:row>67</xdr:row>
      <xdr:rowOff>147885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8FD9D87-8ECE-AE34-FC52-7B63F3FA6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5825" y="5619750"/>
          <a:ext cx="4791744" cy="8602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224790</xdr:colOff>
      <xdr:row>0</xdr:row>
      <xdr:rowOff>0</xdr:rowOff>
    </xdr:from>
    <xdr:to>
      <xdr:col>18</xdr:col>
      <xdr:colOff>241935</xdr:colOff>
      <xdr:row>24</xdr:row>
      <xdr:rowOff>118664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6FBDBA4-E0D7-F748-8F0C-B44D47F03A32}"/>
            </a:ext>
          </a:extLst>
        </xdr:cNvPr>
        <xdr:cNvGrpSpPr/>
      </xdr:nvGrpSpPr>
      <xdr:grpSpPr>
        <a:xfrm>
          <a:off x="7438390" y="0"/>
          <a:ext cx="5160645" cy="4462064"/>
          <a:chOff x="5022680" y="1344217"/>
          <a:chExt cx="3686110" cy="356164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A870D75-AE64-968F-ECB2-9C0CAAE8A1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022680" y="1344217"/>
            <a:ext cx="3686110" cy="3561643"/>
          </a:xfrm>
          <a:prstGeom prst="rect">
            <a:avLst/>
          </a:prstGeom>
        </xdr:spPr>
      </xdr:pic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FBA654E0-0CDD-D8EF-A3E5-4054EF25B30C}"/>
              </a:ext>
            </a:extLst>
          </xdr:cNvPr>
          <xdr:cNvGrpSpPr/>
        </xdr:nvGrpSpPr>
        <xdr:grpSpPr>
          <a:xfrm>
            <a:off x="5645900" y="1852532"/>
            <a:ext cx="2792531" cy="2606722"/>
            <a:chOff x="5265864" y="1783746"/>
            <a:chExt cx="2792531" cy="2606722"/>
          </a:xfrm>
        </xdr:grpSpPr>
        <xdr:sp macro="" textlink="">
          <xdr:nvSpPr>
            <xdr:cNvPr id="5" name="TextBox 11">
              <a:extLst>
                <a:ext uri="{FF2B5EF4-FFF2-40B4-BE49-F238E27FC236}">
                  <a16:creationId xmlns:a16="http://schemas.microsoft.com/office/drawing/2014/main" id="{AEDA58A7-9F52-FBF3-88D3-3806A78A9A7F}"/>
                </a:ext>
              </a:extLst>
            </xdr:cNvPr>
            <xdr:cNvSpPr txBox="1"/>
          </xdr:nvSpPr>
          <xdr:spPr>
            <a:xfrm>
              <a:off x="6514937" y="3137551"/>
              <a:ext cx="423514" cy="20005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700">
                  <a:highlight>
                    <a:srgbClr val="FFFF00"/>
                  </a:highlight>
                </a:rPr>
                <a:t>Aper0</a:t>
              </a:r>
            </a:p>
          </xdr:txBody>
        </xdr:sp>
        <xdr:sp macro="" textlink="">
          <xdr:nvSpPr>
            <xdr:cNvPr id="6" name="TextBox 12">
              <a:extLst>
                <a:ext uri="{FF2B5EF4-FFF2-40B4-BE49-F238E27FC236}">
                  <a16:creationId xmlns:a16="http://schemas.microsoft.com/office/drawing/2014/main" id="{ED60339D-50BF-B395-7C3E-450C2969589E}"/>
                </a:ext>
              </a:extLst>
            </xdr:cNvPr>
            <xdr:cNvSpPr txBox="1"/>
          </xdr:nvSpPr>
          <xdr:spPr>
            <a:xfrm>
              <a:off x="6205949" y="2634782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G2Ap1</a:t>
              </a:r>
            </a:p>
          </xdr:txBody>
        </xdr:sp>
        <xdr:sp macro="" textlink="">
          <xdr:nvSpPr>
            <xdr:cNvPr id="7" name="TextBox 13">
              <a:extLst>
                <a:ext uri="{FF2B5EF4-FFF2-40B4-BE49-F238E27FC236}">
                  <a16:creationId xmlns:a16="http://schemas.microsoft.com/office/drawing/2014/main" id="{41F00E12-FA20-C433-F274-7D763B6CBE4D}"/>
                </a:ext>
              </a:extLst>
            </xdr:cNvPr>
            <xdr:cNvSpPr txBox="1"/>
          </xdr:nvSpPr>
          <xdr:spPr>
            <a:xfrm>
              <a:off x="6193360" y="245156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G2Ap2</a:t>
              </a:r>
            </a:p>
          </xdr:txBody>
        </xdr:sp>
        <xdr:sp macro="" textlink="">
          <xdr:nvSpPr>
            <xdr:cNvPr id="8" name="TextBox 14">
              <a:extLst>
                <a:ext uri="{FF2B5EF4-FFF2-40B4-BE49-F238E27FC236}">
                  <a16:creationId xmlns:a16="http://schemas.microsoft.com/office/drawing/2014/main" id="{2D6D9904-90A0-0B77-43BC-0D7FB1F68CC5}"/>
                </a:ext>
              </a:extLst>
            </xdr:cNvPr>
            <xdr:cNvSpPr txBox="1"/>
          </xdr:nvSpPr>
          <xdr:spPr>
            <a:xfrm>
              <a:off x="5770676" y="280358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G1Ap3</a:t>
              </a:r>
            </a:p>
          </xdr:txBody>
        </xdr:sp>
        <xdr:sp macro="" textlink="">
          <xdr:nvSpPr>
            <xdr:cNvPr id="9" name="TextBox 15">
              <a:extLst>
                <a:ext uri="{FF2B5EF4-FFF2-40B4-BE49-F238E27FC236}">
                  <a16:creationId xmlns:a16="http://schemas.microsoft.com/office/drawing/2014/main" id="{D8C3EB2F-F775-17EB-F696-8EC8326F136C}"/>
                </a:ext>
              </a:extLst>
            </xdr:cNvPr>
            <xdr:cNvSpPr txBox="1"/>
          </xdr:nvSpPr>
          <xdr:spPr>
            <a:xfrm>
              <a:off x="5720549" y="2336194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G1Ap4</a:t>
              </a:r>
            </a:p>
          </xdr:txBody>
        </xdr:sp>
        <xdr:sp macro="" textlink="">
          <xdr:nvSpPr>
            <xdr:cNvPr id="10" name="TextBox 16">
              <a:extLst>
                <a:ext uri="{FF2B5EF4-FFF2-40B4-BE49-F238E27FC236}">
                  <a16:creationId xmlns:a16="http://schemas.microsoft.com/office/drawing/2014/main" id="{8967709E-BB90-0EC6-5E39-CE435342A223}"/>
                </a:ext>
              </a:extLst>
            </xdr:cNvPr>
            <xdr:cNvSpPr txBox="1"/>
          </xdr:nvSpPr>
          <xdr:spPr>
            <a:xfrm>
              <a:off x="5967238" y="178374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G1Ap5</a:t>
              </a:r>
            </a:p>
          </xdr:txBody>
        </xdr:sp>
        <xdr:sp macro="" textlink="">
          <xdr:nvSpPr>
            <xdr:cNvPr id="11" name="TextBox 17">
              <a:extLst>
                <a:ext uri="{FF2B5EF4-FFF2-40B4-BE49-F238E27FC236}">
                  <a16:creationId xmlns:a16="http://schemas.microsoft.com/office/drawing/2014/main" id="{27A52FC5-2B51-082C-2F72-8E22C41C9178}"/>
                </a:ext>
              </a:extLst>
            </xdr:cNvPr>
            <xdr:cNvSpPr txBox="1"/>
          </xdr:nvSpPr>
          <xdr:spPr>
            <a:xfrm>
              <a:off x="5944767" y="3145173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G1Ap2</a:t>
              </a:r>
            </a:p>
          </xdr:txBody>
        </xdr:sp>
        <xdr:sp macro="" textlink="">
          <xdr:nvSpPr>
            <xdr:cNvPr id="12" name="TextBox 18">
              <a:extLst>
                <a:ext uri="{FF2B5EF4-FFF2-40B4-BE49-F238E27FC236}">
                  <a16:creationId xmlns:a16="http://schemas.microsoft.com/office/drawing/2014/main" id="{2AFE54F2-0EA3-2DA2-0347-6A48EA692AA1}"/>
                </a:ext>
              </a:extLst>
            </xdr:cNvPr>
            <xdr:cNvSpPr txBox="1"/>
          </xdr:nvSpPr>
          <xdr:spPr>
            <a:xfrm>
              <a:off x="6466582" y="2234767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G2Ap3</a:t>
              </a:r>
            </a:p>
          </xdr:txBody>
        </xdr:sp>
        <xdr:sp macro="" textlink="">
          <xdr:nvSpPr>
            <xdr:cNvPr id="13" name="TextBox 19">
              <a:extLst>
                <a:ext uri="{FF2B5EF4-FFF2-40B4-BE49-F238E27FC236}">
                  <a16:creationId xmlns:a16="http://schemas.microsoft.com/office/drawing/2014/main" id="{ABFA9777-2BF0-AE0F-7464-0F56AFE0D9E8}"/>
                </a:ext>
              </a:extLst>
            </xdr:cNvPr>
            <xdr:cNvSpPr txBox="1"/>
          </xdr:nvSpPr>
          <xdr:spPr>
            <a:xfrm>
              <a:off x="6841078" y="1982039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G2Ap4</a:t>
              </a:r>
            </a:p>
          </xdr:txBody>
        </xdr:sp>
        <xdr:sp macro="" textlink="">
          <xdr:nvSpPr>
            <xdr:cNvPr id="14" name="TextBox 20">
              <a:extLst>
                <a:ext uri="{FF2B5EF4-FFF2-40B4-BE49-F238E27FC236}">
                  <a16:creationId xmlns:a16="http://schemas.microsoft.com/office/drawing/2014/main" id="{EAFA9872-893B-4097-69F5-76CC18DEE7AE}"/>
                </a:ext>
              </a:extLst>
            </xdr:cNvPr>
            <xdr:cNvSpPr txBox="1"/>
          </xdr:nvSpPr>
          <xdr:spPr>
            <a:xfrm>
              <a:off x="7419566" y="205393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G2Ap5</a:t>
              </a:r>
            </a:p>
          </xdr:txBody>
        </xdr:sp>
        <xdr:sp macro="" textlink="">
          <xdr:nvSpPr>
            <xdr:cNvPr id="15" name="TextBox 21">
              <a:extLst>
                <a:ext uri="{FF2B5EF4-FFF2-40B4-BE49-F238E27FC236}">
                  <a16:creationId xmlns:a16="http://schemas.microsoft.com/office/drawing/2014/main" id="{DE1C5A0E-0603-8B1C-65A6-F2D7F0E4C1B2}"/>
                </a:ext>
              </a:extLst>
            </xdr:cNvPr>
            <xdr:cNvSpPr txBox="1"/>
          </xdr:nvSpPr>
          <xdr:spPr>
            <a:xfrm>
              <a:off x="6688661" y="253360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G3Ap1</a:t>
              </a:r>
            </a:p>
          </xdr:txBody>
        </xdr:sp>
        <xdr:sp macro="" textlink="">
          <xdr:nvSpPr>
            <xdr:cNvPr id="16" name="TextBox 22">
              <a:extLst>
                <a:ext uri="{FF2B5EF4-FFF2-40B4-BE49-F238E27FC236}">
                  <a16:creationId xmlns:a16="http://schemas.microsoft.com/office/drawing/2014/main" id="{731821C7-AEC4-AF52-7E42-8E91A62CBF0B}"/>
                </a:ext>
              </a:extLst>
            </xdr:cNvPr>
            <xdr:cNvSpPr txBox="1"/>
          </xdr:nvSpPr>
          <xdr:spPr>
            <a:xfrm>
              <a:off x="6907841" y="241059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G3Ap2</a:t>
              </a:r>
            </a:p>
          </xdr:txBody>
        </xdr:sp>
        <xdr:sp macro="" textlink="">
          <xdr:nvSpPr>
            <xdr:cNvPr id="17" name="TextBox 23">
              <a:extLst>
                <a:ext uri="{FF2B5EF4-FFF2-40B4-BE49-F238E27FC236}">
                  <a16:creationId xmlns:a16="http://schemas.microsoft.com/office/drawing/2014/main" id="{CDA6E8DC-7A89-6B6F-7E61-EFA65BD87C03}"/>
                </a:ext>
              </a:extLst>
            </xdr:cNvPr>
            <xdr:cNvSpPr txBox="1"/>
          </xdr:nvSpPr>
          <xdr:spPr>
            <a:xfrm>
              <a:off x="7243238" y="2592480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G3Ap3</a:t>
              </a:r>
            </a:p>
          </xdr:txBody>
        </xdr:sp>
        <xdr:sp macro="" textlink="">
          <xdr:nvSpPr>
            <xdr:cNvPr id="18" name="TextBox 24">
              <a:extLst>
                <a:ext uri="{FF2B5EF4-FFF2-40B4-BE49-F238E27FC236}">
                  <a16:creationId xmlns:a16="http://schemas.microsoft.com/office/drawing/2014/main" id="{CF03EF98-7E13-F399-45D1-9EC19C874673}"/>
                </a:ext>
              </a:extLst>
            </xdr:cNvPr>
            <xdr:cNvSpPr txBox="1"/>
          </xdr:nvSpPr>
          <xdr:spPr>
            <a:xfrm>
              <a:off x="7576650" y="2940982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G3Ap4</a:t>
              </a:r>
            </a:p>
          </xdr:txBody>
        </xdr:sp>
        <xdr:sp macro="" textlink="">
          <xdr:nvSpPr>
            <xdr:cNvPr id="19" name="TextBox 25">
              <a:extLst>
                <a:ext uri="{FF2B5EF4-FFF2-40B4-BE49-F238E27FC236}">
                  <a16:creationId xmlns:a16="http://schemas.microsoft.com/office/drawing/2014/main" id="{F9CF584B-6F5C-4F08-F8B7-AC4F69727737}"/>
                </a:ext>
              </a:extLst>
            </xdr:cNvPr>
            <xdr:cNvSpPr txBox="1"/>
          </xdr:nvSpPr>
          <xdr:spPr>
            <a:xfrm>
              <a:off x="7674957" y="3530077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G3Ap5</a:t>
              </a:r>
            </a:p>
          </xdr:txBody>
        </xdr:sp>
        <xdr:sp macro="" textlink="">
          <xdr:nvSpPr>
            <xdr:cNvPr id="20" name="TextBox 26">
              <a:extLst>
                <a:ext uri="{FF2B5EF4-FFF2-40B4-BE49-F238E27FC236}">
                  <a16:creationId xmlns:a16="http://schemas.microsoft.com/office/drawing/2014/main" id="{21081A90-D546-A388-CF4F-68C30347ECA2}"/>
                </a:ext>
              </a:extLst>
            </xdr:cNvPr>
            <xdr:cNvSpPr txBox="1"/>
          </xdr:nvSpPr>
          <xdr:spPr>
            <a:xfrm>
              <a:off x="7000551" y="2952058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G4Ap1</a:t>
              </a:r>
            </a:p>
          </xdr:txBody>
        </xdr:sp>
        <xdr:sp macro="" textlink="">
          <xdr:nvSpPr>
            <xdr:cNvPr id="21" name="TextBox 27">
              <a:extLst>
                <a:ext uri="{FF2B5EF4-FFF2-40B4-BE49-F238E27FC236}">
                  <a16:creationId xmlns:a16="http://schemas.microsoft.com/office/drawing/2014/main" id="{EF4927C3-E352-B430-A833-BE8BA95F03BD}"/>
                </a:ext>
              </a:extLst>
            </xdr:cNvPr>
            <xdr:cNvSpPr txBox="1"/>
          </xdr:nvSpPr>
          <xdr:spPr>
            <a:xfrm>
              <a:off x="7146932" y="3130380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G4Ap2</a:t>
              </a:r>
            </a:p>
          </xdr:txBody>
        </xdr:sp>
        <xdr:sp macro="" textlink="">
          <xdr:nvSpPr>
            <xdr:cNvPr id="22" name="TextBox 28">
              <a:extLst>
                <a:ext uri="{FF2B5EF4-FFF2-40B4-BE49-F238E27FC236}">
                  <a16:creationId xmlns:a16="http://schemas.microsoft.com/office/drawing/2014/main" id="{05BF9BBD-ECC3-830A-12FE-4173483EF5B2}"/>
                </a:ext>
              </a:extLst>
            </xdr:cNvPr>
            <xdr:cNvSpPr txBox="1"/>
          </xdr:nvSpPr>
          <xdr:spPr>
            <a:xfrm>
              <a:off x="7087199" y="3487127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G4Ap3</a:t>
              </a:r>
            </a:p>
          </xdr:txBody>
        </xdr:sp>
        <xdr:sp macro="" textlink="">
          <xdr:nvSpPr>
            <xdr:cNvPr id="23" name="TextBox 29">
              <a:extLst>
                <a:ext uri="{FF2B5EF4-FFF2-40B4-BE49-F238E27FC236}">
                  <a16:creationId xmlns:a16="http://schemas.microsoft.com/office/drawing/2014/main" id="{7F387CEA-2C6E-9C49-F6A8-7EE75EB5C01D}"/>
                </a:ext>
              </a:extLst>
            </xdr:cNvPr>
            <xdr:cNvSpPr txBox="1"/>
          </xdr:nvSpPr>
          <xdr:spPr>
            <a:xfrm>
              <a:off x="6945404" y="3905332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G4Ap4</a:t>
              </a:r>
            </a:p>
          </xdr:txBody>
        </xdr:sp>
        <xdr:sp macro="" textlink="">
          <xdr:nvSpPr>
            <xdr:cNvPr id="24" name="TextBox 30">
              <a:extLst>
                <a:ext uri="{FF2B5EF4-FFF2-40B4-BE49-F238E27FC236}">
                  <a16:creationId xmlns:a16="http://schemas.microsoft.com/office/drawing/2014/main" id="{267500BC-51CE-22D5-3236-15414B6C5F95}"/>
                </a:ext>
              </a:extLst>
            </xdr:cNvPr>
            <xdr:cNvSpPr txBox="1"/>
          </xdr:nvSpPr>
          <xdr:spPr>
            <a:xfrm>
              <a:off x="6370247" y="4221191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G4Ap5</a:t>
              </a:r>
            </a:p>
          </xdr:txBody>
        </xdr:sp>
        <xdr:sp macro="" textlink="">
          <xdr:nvSpPr>
            <xdr:cNvPr id="25" name="TextBox 31">
              <a:extLst>
                <a:ext uri="{FF2B5EF4-FFF2-40B4-BE49-F238E27FC236}">
                  <a16:creationId xmlns:a16="http://schemas.microsoft.com/office/drawing/2014/main" id="{4BFD0DDD-18CB-6523-D757-723DA45C18A1}"/>
                </a:ext>
              </a:extLst>
            </xdr:cNvPr>
            <xdr:cNvSpPr txBox="1"/>
          </xdr:nvSpPr>
          <xdr:spPr>
            <a:xfrm>
              <a:off x="6621090" y="3360921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G5Ap1</a:t>
              </a:r>
            </a:p>
          </xdr:txBody>
        </xdr:sp>
        <xdr:sp macro="" textlink="">
          <xdr:nvSpPr>
            <xdr:cNvPr id="26" name="TextBox 32">
              <a:extLst>
                <a:ext uri="{FF2B5EF4-FFF2-40B4-BE49-F238E27FC236}">
                  <a16:creationId xmlns:a16="http://schemas.microsoft.com/office/drawing/2014/main" id="{52AD01FF-64F3-00CB-1870-299413C33E96}"/>
                </a:ext>
              </a:extLst>
            </xdr:cNvPr>
            <xdr:cNvSpPr txBox="1"/>
          </xdr:nvSpPr>
          <xdr:spPr>
            <a:xfrm>
              <a:off x="6561966" y="3590807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G5Ap2</a:t>
              </a:r>
            </a:p>
          </xdr:txBody>
        </xdr:sp>
        <xdr:sp macro="" textlink="">
          <xdr:nvSpPr>
            <xdr:cNvPr id="27" name="TextBox 33">
              <a:extLst>
                <a:ext uri="{FF2B5EF4-FFF2-40B4-BE49-F238E27FC236}">
                  <a16:creationId xmlns:a16="http://schemas.microsoft.com/office/drawing/2014/main" id="{B5C4B25B-EBA5-B9CD-5853-D86E3C1BD99D}"/>
                </a:ext>
              </a:extLst>
            </xdr:cNvPr>
            <xdr:cNvSpPr txBox="1"/>
          </xdr:nvSpPr>
          <xdr:spPr>
            <a:xfrm>
              <a:off x="6205949" y="3614983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G5Ap3</a:t>
              </a:r>
            </a:p>
          </xdr:txBody>
        </xdr:sp>
        <xdr:sp macro="" textlink="">
          <xdr:nvSpPr>
            <xdr:cNvPr id="28" name="TextBox 34">
              <a:extLst>
                <a:ext uri="{FF2B5EF4-FFF2-40B4-BE49-F238E27FC236}">
                  <a16:creationId xmlns:a16="http://schemas.microsoft.com/office/drawing/2014/main" id="{AD93D5D2-3176-D883-FA3B-F3FCC24AF554}"/>
                </a:ext>
              </a:extLst>
            </xdr:cNvPr>
            <xdr:cNvSpPr txBox="1"/>
          </xdr:nvSpPr>
          <xdr:spPr>
            <a:xfrm>
              <a:off x="5695552" y="3548999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G5Ap4</a:t>
              </a:r>
            </a:p>
          </xdr:txBody>
        </xdr:sp>
        <xdr:sp macro="" textlink="">
          <xdr:nvSpPr>
            <xdr:cNvPr id="29" name="TextBox 35">
              <a:extLst>
                <a:ext uri="{FF2B5EF4-FFF2-40B4-BE49-F238E27FC236}">
                  <a16:creationId xmlns:a16="http://schemas.microsoft.com/office/drawing/2014/main" id="{943A38F6-310F-CEFB-9116-30D079A20609}"/>
                </a:ext>
              </a:extLst>
            </xdr:cNvPr>
            <xdr:cNvSpPr txBox="1"/>
          </xdr:nvSpPr>
          <xdr:spPr>
            <a:xfrm>
              <a:off x="6169707" y="322233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G1Ap1</a:t>
              </a:r>
            </a:p>
          </xdr:txBody>
        </xdr:sp>
        <xdr:sp macro="" textlink="">
          <xdr:nvSpPr>
            <xdr:cNvPr id="30" name="TextBox 36">
              <a:extLst>
                <a:ext uri="{FF2B5EF4-FFF2-40B4-BE49-F238E27FC236}">
                  <a16:creationId xmlns:a16="http://schemas.microsoft.com/office/drawing/2014/main" id="{6D2A43F5-0325-E8B9-98CC-0CD71F1F52D8}"/>
                </a:ext>
              </a:extLst>
            </xdr:cNvPr>
            <xdr:cNvSpPr txBox="1"/>
          </xdr:nvSpPr>
          <xdr:spPr>
            <a:xfrm>
              <a:off x="5265864" y="3083133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G5Ap5</a:t>
              </a:r>
            </a:p>
          </xdr:txBody>
        </xdr:sp>
        <xdr:cxnSp macro="">
          <xdr:nvCxnSpPr>
            <xdr:cNvPr id="31" name="Straight Arrow Connector 30">
              <a:extLst>
                <a:ext uri="{FF2B5EF4-FFF2-40B4-BE49-F238E27FC236}">
                  <a16:creationId xmlns:a16="http://schemas.microsoft.com/office/drawing/2014/main" id="{EF34735F-3BCF-3811-8C1B-CA1BF0E0196E}"/>
                </a:ext>
              </a:extLst>
            </xdr:cNvPr>
            <xdr:cNvCxnSpPr>
              <a:cxnSpLocks/>
            </xdr:cNvCxnSpPr>
          </xdr:nvCxnSpPr>
          <xdr:spPr>
            <a:xfrm flipV="1">
              <a:off x="6721811" y="3025621"/>
              <a:ext cx="253883" cy="5982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3EE88D15-9ED7-3151-566D-5D0BC573049B}"/>
                </a:ext>
              </a:extLst>
            </xdr:cNvPr>
            <xdr:cNvCxnSpPr>
              <a:cxnSpLocks/>
            </xdr:cNvCxnSpPr>
          </xdr:nvCxnSpPr>
          <xdr:spPr>
            <a:xfrm flipV="1">
              <a:off x="6720091" y="2719485"/>
              <a:ext cx="6603" cy="333781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" name="TextBox 39">
              <a:extLst>
                <a:ext uri="{FF2B5EF4-FFF2-40B4-BE49-F238E27FC236}">
                  <a16:creationId xmlns:a16="http://schemas.microsoft.com/office/drawing/2014/main" id="{B42F8866-581E-DDFA-9048-346504FD9F97}"/>
                </a:ext>
              </a:extLst>
            </xdr:cNvPr>
            <xdr:cNvSpPr txBox="1"/>
          </xdr:nvSpPr>
          <xdr:spPr>
            <a:xfrm>
              <a:off x="6807890" y="2843853"/>
              <a:ext cx="243978" cy="20005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700">
                  <a:highlight>
                    <a:srgbClr val="00FF00"/>
                  </a:highlight>
                </a:rPr>
                <a:t>X</a:t>
              </a:r>
            </a:p>
          </xdr:txBody>
        </xdr:sp>
        <xdr:sp macro="" textlink="">
          <xdr:nvSpPr>
            <xdr:cNvPr id="34" name="TextBox 40">
              <a:extLst>
                <a:ext uri="{FF2B5EF4-FFF2-40B4-BE49-F238E27FC236}">
                  <a16:creationId xmlns:a16="http://schemas.microsoft.com/office/drawing/2014/main" id="{13607B18-E944-67EB-5D97-72E67E082F4C}"/>
                </a:ext>
              </a:extLst>
            </xdr:cNvPr>
            <xdr:cNvSpPr txBox="1"/>
          </xdr:nvSpPr>
          <xdr:spPr>
            <a:xfrm>
              <a:off x="6688661" y="2685122"/>
              <a:ext cx="243978" cy="20005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700">
                  <a:highlight>
                    <a:srgbClr val="00FF00"/>
                  </a:highlight>
                </a:rPr>
                <a:t>Y</a:t>
              </a:r>
            </a:p>
          </xdr:txBody>
        </xdr:sp>
      </xdr:grpSp>
    </xdr:grpSp>
    <xdr:clientData/>
  </xdr:twoCellAnchor>
  <xdr:oneCellAnchor>
    <xdr:from>
      <xdr:col>9</xdr:col>
      <xdr:colOff>504825</xdr:colOff>
      <xdr:row>25</xdr:row>
      <xdr:rowOff>152400</xdr:rowOff>
    </xdr:from>
    <xdr:ext cx="4481229" cy="7313860"/>
    <xdr:pic>
      <xdr:nvPicPr>
        <xdr:cNvPr id="35" name="Picture 34">
          <a:extLst>
            <a:ext uri="{FF2B5EF4-FFF2-40B4-BE49-F238E27FC236}">
              <a16:creationId xmlns:a16="http://schemas.microsoft.com/office/drawing/2014/main" id="{DFF25769-3E6C-C142-8710-18F028950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4597400"/>
          <a:ext cx="4481229" cy="73138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253365</xdr:colOff>
      <xdr:row>0</xdr:row>
      <xdr:rowOff>47625</xdr:rowOff>
    </xdr:from>
    <xdr:to>
      <xdr:col>18</xdr:col>
      <xdr:colOff>270510</xdr:colOff>
      <xdr:row>24</xdr:row>
      <xdr:rowOff>166289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E35A93A-EF2A-694A-AB3F-3E1D2DA8852A}"/>
            </a:ext>
          </a:extLst>
        </xdr:cNvPr>
        <xdr:cNvGrpSpPr/>
      </xdr:nvGrpSpPr>
      <xdr:grpSpPr>
        <a:xfrm>
          <a:off x="7466189" y="47625"/>
          <a:ext cx="5165008" cy="4384313"/>
          <a:chOff x="5022680" y="1344217"/>
          <a:chExt cx="3686110" cy="356164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23CCEA2-2527-79C2-9E2F-5CE566342A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022680" y="1344217"/>
            <a:ext cx="3686110" cy="3561643"/>
          </a:xfrm>
          <a:prstGeom prst="rect">
            <a:avLst/>
          </a:prstGeom>
        </xdr:spPr>
      </xdr:pic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6D538364-CD8F-78E7-B154-31BC18304C96}"/>
              </a:ext>
            </a:extLst>
          </xdr:cNvPr>
          <xdr:cNvGrpSpPr/>
        </xdr:nvGrpSpPr>
        <xdr:grpSpPr>
          <a:xfrm>
            <a:off x="5645900" y="1852532"/>
            <a:ext cx="2792531" cy="2606722"/>
            <a:chOff x="5265864" y="1783746"/>
            <a:chExt cx="2792531" cy="2606722"/>
          </a:xfrm>
        </xdr:grpSpPr>
        <xdr:sp macro="" textlink="">
          <xdr:nvSpPr>
            <xdr:cNvPr id="5" name="TextBox 11">
              <a:extLst>
                <a:ext uri="{FF2B5EF4-FFF2-40B4-BE49-F238E27FC236}">
                  <a16:creationId xmlns:a16="http://schemas.microsoft.com/office/drawing/2014/main" id="{B2DD0181-69C2-A319-186A-EAB22B7FBA90}"/>
                </a:ext>
              </a:extLst>
            </xdr:cNvPr>
            <xdr:cNvSpPr txBox="1"/>
          </xdr:nvSpPr>
          <xdr:spPr>
            <a:xfrm>
              <a:off x="6514937" y="3137551"/>
              <a:ext cx="423514" cy="20005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700">
                  <a:highlight>
                    <a:srgbClr val="FFFF00"/>
                  </a:highlight>
                </a:rPr>
                <a:t>Aper0</a:t>
              </a:r>
            </a:p>
          </xdr:txBody>
        </xdr:sp>
        <xdr:sp macro="" textlink="">
          <xdr:nvSpPr>
            <xdr:cNvPr id="6" name="TextBox 12">
              <a:extLst>
                <a:ext uri="{FF2B5EF4-FFF2-40B4-BE49-F238E27FC236}">
                  <a16:creationId xmlns:a16="http://schemas.microsoft.com/office/drawing/2014/main" id="{54A7B58F-45C6-A936-85B8-830FEB61E736}"/>
                </a:ext>
              </a:extLst>
            </xdr:cNvPr>
            <xdr:cNvSpPr txBox="1"/>
          </xdr:nvSpPr>
          <xdr:spPr>
            <a:xfrm>
              <a:off x="6205949" y="2634782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G2Ap1</a:t>
              </a:r>
            </a:p>
          </xdr:txBody>
        </xdr:sp>
        <xdr:sp macro="" textlink="">
          <xdr:nvSpPr>
            <xdr:cNvPr id="7" name="TextBox 13">
              <a:extLst>
                <a:ext uri="{FF2B5EF4-FFF2-40B4-BE49-F238E27FC236}">
                  <a16:creationId xmlns:a16="http://schemas.microsoft.com/office/drawing/2014/main" id="{D01EB962-9F47-78F7-390C-89CA83601F6D}"/>
                </a:ext>
              </a:extLst>
            </xdr:cNvPr>
            <xdr:cNvSpPr txBox="1"/>
          </xdr:nvSpPr>
          <xdr:spPr>
            <a:xfrm>
              <a:off x="6193360" y="245156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G2Ap2</a:t>
              </a:r>
            </a:p>
          </xdr:txBody>
        </xdr:sp>
        <xdr:sp macro="" textlink="">
          <xdr:nvSpPr>
            <xdr:cNvPr id="8" name="TextBox 14">
              <a:extLst>
                <a:ext uri="{FF2B5EF4-FFF2-40B4-BE49-F238E27FC236}">
                  <a16:creationId xmlns:a16="http://schemas.microsoft.com/office/drawing/2014/main" id="{402DADB9-1AD6-BE05-9C39-E47DE486B9F5}"/>
                </a:ext>
              </a:extLst>
            </xdr:cNvPr>
            <xdr:cNvSpPr txBox="1"/>
          </xdr:nvSpPr>
          <xdr:spPr>
            <a:xfrm>
              <a:off x="5770676" y="280358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G1Ap3</a:t>
              </a:r>
            </a:p>
          </xdr:txBody>
        </xdr:sp>
        <xdr:sp macro="" textlink="">
          <xdr:nvSpPr>
            <xdr:cNvPr id="9" name="TextBox 15">
              <a:extLst>
                <a:ext uri="{FF2B5EF4-FFF2-40B4-BE49-F238E27FC236}">
                  <a16:creationId xmlns:a16="http://schemas.microsoft.com/office/drawing/2014/main" id="{31DDE4BF-3E02-E2E1-18F8-CD5CB6595041}"/>
                </a:ext>
              </a:extLst>
            </xdr:cNvPr>
            <xdr:cNvSpPr txBox="1"/>
          </xdr:nvSpPr>
          <xdr:spPr>
            <a:xfrm>
              <a:off x="5720549" y="2336194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G1Ap4</a:t>
              </a:r>
            </a:p>
          </xdr:txBody>
        </xdr:sp>
        <xdr:sp macro="" textlink="">
          <xdr:nvSpPr>
            <xdr:cNvPr id="10" name="TextBox 16">
              <a:extLst>
                <a:ext uri="{FF2B5EF4-FFF2-40B4-BE49-F238E27FC236}">
                  <a16:creationId xmlns:a16="http://schemas.microsoft.com/office/drawing/2014/main" id="{A34CE135-0E3A-1E7B-26A5-88F45A736C27}"/>
                </a:ext>
              </a:extLst>
            </xdr:cNvPr>
            <xdr:cNvSpPr txBox="1"/>
          </xdr:nvSpPr>
          <xdr:spPr>
            <a:xfrm>
              <a:off x="5967238" y="178374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G1Ap5</a:t>
              </a:r>
            </a:p>
          </xdr:txBody>
        </xdr:sp>
        <xdr:sp macro="" textlink="">
          <xdr:nvSpPr>
            <xdr:cNvPr id="11" name="TextBox 17">
              <a:extLst>
                <a:ext uri="{FF2B5EF4-FFF2-40B4-BE49-F238E27FC236}">
                  <a16:creationId xmlns:a16="http://schemas.microsoft.com/office/drawing/2014/main" id="{AA6650DF-932C-F2E8-2517-FF849B8700EF}"/>
                </a:ext>
              </a:extLst>
            </xdr:cNvPr>
            <xdr:cNvSpPr txBox="1"/>
          </xdr:nvSpPr>
          <xdr:spPr>
            <a:xfrm>
              <a:off x="5944767" y="3145173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G1Ap2</a:t>
              </a:r>
            </a:p>
          </xdr:txBody>
        </xdr:sp>
        <xdr:sp macro="" textlink="">
          <xdr:nvSpPr>
            <xdr:cNvPr id="12" name="TextBox 18">
              <a:extLst>
                <a:ext uri="{FF2B5EF4-FFF2-40B4-BE49-F238E27FC236}">
                  <a16:creationId xmlns:a16="http://schemas.microsoft.com/office/drawing/2014/main" id="{7C789068-306E-5A81-94FD-11567BC97BBD}"/>
                </a:ext>
              </a:extLst>
            </xdr:cNvPr>
            <xdr:cNvSpPr txBox="1"/>
          </xdr:nvSpPr>
          <xdr:spPr>
            <a:xfrm>
              <a:off x="6466582" y="2234767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G2Ap3</a:t>
              </a:r>
            </a:p>
          </xdr:txBody>
        </xdr:sp>
        <xdr:sp macro="" textlink="">
          <xdr:nvSpPr>
            <xdr:cNvPr id="13" name="TextBox 19">
              <a:extLst>
                <a:ext uri="{FF2B5EF4-FFF2-40B4-BE49-F238E27FC236}">
                  <a16:creationId xmlns:a16="http://schemas.microsoft.com/office/drawing/2014/main" id="{09FA5503-4936-57DB-E6A3-AF1153A760F5}"/>
                </a:ext>
              </a:extLst>
            </xdr:cNvPr>
            <xdr:cNvSpPr txBox="1"/>
          </xdr:nvSpPr>
          <xdr:spPr>
            <a:xfrm>
              <a:off x="6841078" y="1982039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G2Ap4</a:t>
              </a:r>
            </a:p>
          </xdr:txBody>
        </xdr:sp>
        <xdr:sp macro="" textlink="">
          <xdr:nvSpPr>
            <xdr:cNvPr id="14" name="TextBox 20">
              <a:extLst>
                <a:ext uri="{FF2B5EF4-FFF2-40B4-BE49-F238E27FC236}">
                  <a16:creationId xmlns:a16="http://schemas.microsoft.com/office/drawing/2014/main" id="{03B1B212-0F27-8FF6-C5D0-AC229628334A}"/>
                </a:ext>
              </a:extLst>
            </xdr:cNvPr>
            <xdr:cNvSpPr txBox="1"/>
          </xdr:nvSpPr>
          <xdr:spPr>
            <a:xfrm>
              <a:off x="7419566" y="205393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G2Ap5</a:t>
              </a:r>
            </a:p>
          </xdr:txBody>
        </xdr:sp>
        <xdr:sp macro="" textlink="">
          <xdr:nvSpPr>
            <xdr:cNvPr id="15" name="TextBox 21">
              <a:extLst>
                <a:ext uri="{FF2B5EF4-FFF2-40B4-BE49-F238E27FC236}">
                  <a16:creationId xmlns:a16="http://schemas.microsoft.com/office/drawing/2014/main" id="{80893568-EE3A-3E1D-AE86-520A28249832}"/>
                </a:ext>
              </a:extLst>
            </xdr:cNvPr>
            <xdr:cNvSpPr txBox="1"/>
          </xdr:nvSpPr>
          <xdr:spPr>
            <a:xfrm>
              <a:off x="6688661" y="253360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G3Ap1</a:t>
              </a:r>
            </a:p>
          </xdr:txBody>
        </xdr:sp>
        <xdr:sp macro="" textlink="">
          <xdr:nvSpPr>
            <xdr:cNvPr id="16" name="TextBox 22">
              <a:extLst>
                <a:ext uri="{FF2B5EF4-FFF2-40B4-BE49-F238E27FC236}">
                  <a16:creationId xmlns:a16="http://schemas.microsoft.com/office/drawing/2014/main" id="{C9BBB2CA-EE29-6A4F-B50A-C90C5F42EEB7}"/>
                </a:ext>
              </a:extLst>
            </xdr:cNvPr>
            <xdr:cNvSpPr txBox="1"/>
          </xdr:nvSpPr>
          <xdr:spPr>
            <a:xfrm>
              <a:off x="6907841" y="241059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G3Ap2</a:t>
              </a:r>
            </a:p>
          </xdr:txBody>
        </xdr:sp>
        <xdr:sp macro="" textlink="">
          <xdr:nvSpPr>
            <xdr:cNvPr id="17" name="TextBox 23">
              <a:extLst>
                <a:ext uri="{FF2B5EF4-FFF2-40B4-BE49-F238E27FC236}">
                  <a16:creationId xmlns:a16="http://schemas.microsoft.com/office/drawing/2014/main" id="{E6EA771B-45E9-C4A7-2F4B-226D2A2555A9}"/>
                </a:ext>
              </a:extLst>
            </xdr:cNvPr>
            <xdr:cNvSpPr txBox="1"/>
          </xdr:nvSpPr>
          <xdr:spPr>
            <a:xfrm>
              <a:off x="7243238" y="2592480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G3Ap3</a:t>
              </a:r>
            </a:p>
          </xdr:txBody>
        </xdr:sp>
        <xdr:sp macro="" textlink="">
          <xdr:nvSpPr>
            <xdr:cNvPr id="18" name="TextBox 24">
              <a:extLst>
                <a:ext uri="{FF2B5EF4-FFF2-40B4-BE49-F238E27FC236}">
                  <a16:creationId xmlns:a16="http://schemas.microsoft.com/office/drawing/2014/main" id="{151C7ED1-E211-78EB-A4CA-252F140BAD1B}"/>
                </a:ext>
              </a:extLst>
            </xdr:cNvPr>
            <xdr:cNvSpPr txBox="1"/>
          </xdr:nvSpPr>
          <xdr:spPr>
            <a:xfrm>
              <a:off x="7576650" y="2940982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G3Ap4</a:t>
              </a:r>
            </a:p>
          </xdr:txBody>
        </xdr:sp>
        <xdr:sp macro="" textlink="">
          <xdr:nvSpPr>
            <xdr:cNvPr id="19" name="TextBox 25">
              <a:extLst>
                <a:ext uri="{FF2B5EF4-FFF2-40B4-BE49-F238E27FC236}">
                  <a16:creationId xmlns:a16="http://schemas.microsoft.com/office/drawing/2014/main" id="{A8D47743-BEA0-91A7-0023-4E9F26EF5F4A}"/>
                </a:ext>
              </a:extLst>
            </xdr:cNvPr>
            <xdr:cNvSpPr txBox="1"/>
          </xdr:nvSpPr>
          <xdr:spPr>
            <a:xfrm>
              <a:off x="7674957" y="3530077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G3Ap5</a:t>
              </a:r>
            </a:p>
          </xdr:txBody>
        </xdr:sp>
        <xdr:sp macro="" textlink="">
          <xdr:nvSpPr>
            <xdr:cNvPr id="20" name="TextBox 26">
              <a:extLst>
                <a:ext uri="{FF2B5EF4-FFF2-40B4-BE49-F238E27FC236}">
                  <a16:creationId xmlns:a16="http://schemas.microsoft.com/office/drawing/2014/main" id="{B4860D62-608B-9C2C-B0CE-EA9B6BBD7562}"/>
                </a:ext>
              </a:extLst>
            </xdr:cNvPr>
            <xdr:cNvSpPr txBox="1"/>
          </xdr:nvSpPr>
          <xdr:spPr>
            <a:xfrm>
              <a:off x="7000551" y="2952058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G4Ap1</a:t>
              </a:r>
            </a:p>
          </xdr:txBody>
        </xdr:sp>
        <xdr:sp macro="" textlink="">
          <xdr:nvSpPr>
            <xdr:cNvPr id="21" name="TextBox 27">
              <a:extLst>
                <a:ext uri="{FF2B5EF4-FFF2-40B4-BE49-F238E27FC236}">
                  <a16:creationId xmlns:a16="http://schemas.microsoft.com/office/drawing/2014/main" id="{DE9C3DA6-496F-EC41-40E3-245C49FAC87B}"/>
                </a:ext>
              </a:extLst>
            </xdr:cNvPr>
            <xdr:cNvSpPr txBox="1"/>
          </xdr:nvSpPr>
          <xdr:spPr>
            <a:xfrm>
              <a:off x="7146932" y="3130380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G4Ap2</a:t>
              </a:r>
            </a:p>
          </xdr:txBody>
        </xdr:sp>
        <xdr:sp macro="" textlink="">
          <xdr:nvSpPr>
            <xdr:cNvPr id="22" name="TextBox 28">
              <a:extLst>
                <a:ext uri="{FF2B5EF4-FFF2-40B4-BE49-F238E27FC236}">
                  <a16:creationId xmlns:a16="http://schemas.microsoft.com/office/drawing/2014/main" id="{33983D17-76F4-90F4-4494-2894635B402E}"/>
                </a:ext>
              </a:extLst>
            </xdr:cNvPr>
            <xdr:cNvSpPr txBox="1"/>
          </xdr:nvSpPr>
          <xdr:spPr>
            <a:xfrm>
              <a:off x="7087199" y="3487127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G4Ap3</a:t>
              </a:r>
            </a:p>
          </xdr:txBody>
        </xdr:sp>
        <xdr:sp macro="" textlink="">
          <xdr:nvSpPr>
            <xdr:cNvPr id="23" name="TextBox 29">
              <a:extLst>
                <a:ext uri="{FF2B5EF4-FFF2-40B4-BE49-F238E27FC236}">
                  <a16:creationId xmlns:a16="http://schemas.microsoft.com/office/drawing/2014/main" id="{616E8544-E8CA-2F5D-0CD5-ACB8CDAE7416}"/>
                </a:ext>
              </a:extLst>
            </xdr:cNvPr>
            <xdr:cNvSpPr txBox="1"/>
          </xdr:nvSpPr>
          <xdr:spPr>
            <a:xfrm>
              <a:off x="6945404" y="3905332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G4Ap4</a:t>
              </a:r>
            </a:p>
          </xdr:txBody>
        </xdr:sp>
        <xdr:sp macro="" textlink="">
          <xdr:nvSpPr>
            <xdr:cNvPr id="24" name="TextBox 30">
              <a:extLst>
                <a:ext uri="{FF2B5EF4-FFF2-40B4-BE49-F238E27FC236}">
                  <a16:creationId xmlns:a16="http://schemas.microsoft.com/office/drawing/2014/main" id="{D58A0BCA-4EF2-8755-9943-089BA7C66251}"/>
                </a:ext>
              </a:extLst>
            </xdr:cNvPr>
            <xdr:cNvSpPr txBox="1"/>
          </xdr:nvSpPr>
          <xdr:spPr>
            <a:xfrm>
              <a:off x="6370247" y="4221191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G4Ap5</a:t>
              </a:r>
            </a:p>
          </xdr:txBody>
        </xdr:sp>
        <xdr:sp macro="" textlink="">
          <xdr:nvSpPr>
            <xdr:cNvPr id="25" name="TextBox 31">
              <a:extLst>
                <a:ext uri="{FF2B5EF4-FFF2-40B4-BE49-F238E27FC236}">
                  <a16:creationId xmlns:a16="http://schemas.microsoft.com/office/drawing/2014/main" id="{24892ECD-F116-5B82-1111-D6A97C68F3B1}"/>
                </a:ext>
              </a:extLst>
            </xdr:cNvPr>
            <xdr:cNvSpPr txBox="1"/>
          </xdr:nvSpPr>
          <xdr:spPr>
            <a:xfrm>
              <a:off x="6621090" y="3360921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G5Ap1</a:t>
              </a:r>
            </a:p>
          </xdr:txBody>
        </xdr:sp>
        <xdr:sp macro="" textlink="">
          <xdr:nvSpPr>
            <xdr:cNvPr id="26" name="TextBox 32">
              <a:extLst>
                <a:ext uri="{FF2B5EF4-FFF2-40B4-BE49-F238E27FC236}">
                  <a16:creationId xmlns:a16="http://schemas.microsoft.com/office/drawing/2014/main" id="{9EA70A12-950F-2AEC-EE25-D9CFAB229CDC}"/>
                </a:ext>
              </a:extLst>
            </xdr:cNvPr>
            <xdr:cNvSpPr txBox="1"/>
          </xdr:nvSpPr>
          <xdr:spPr>
            <a:xfrm>
              <a:off x="6561966" y="3590807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G5Ap2</a:t>
              </a:r>
            </a:p>
          </xdr:txBody>
        </xdr:sp>
        <xdr:sp macro="" textlink="">
          <xdr:nvSpPr>
            <xdr:cNvPr id="27" name="TextBox 33">
              <a:extLst>
                <a:ext uri="{FF2B5EF4-FFF2-40B4-BE49-F238E27FC236}">
                  <a16:creationId xmlns:a16="http://schemas.microsoft.com/office/drawing/2014/main" id="{3636E54A-1637-793B-FC70-3763DB4B640E}"/>
                </a:ext>
              </a:extLst>
            </xdr:cNvPr>
            <xdr:cNvSpPr txBox="1"/>
          </xdr:nvSpPr>
          <xdr:spPr>
            <a:xfrm>
              <a:off x="6205949" y="3614983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G5Ap3</a:t>
              </a:r>
            </a:p>
          </xdr:txBody>
        </xdr:sp>
        <xdr:sp macro="" textlink="">
          <xdr:nvSpPr>
            <xdr:cNvPr id="28" name="TextBox 34">
              <a:extLst>
                <a:ext uri="{FF2B5EF4-FFF2-40B4-BE49-F238E27FC236}">
                  <a16:creationId xmlns:a16="http://schemas.microsoft.com/office/drawing/2014/main" id="{EAA179BA-DBD1-B0DD-9B37-CD413AA0B471}"/>
                </a:ext>
              </a:extLst>
            </xdr:cNvPr>
            <xdr:cNvSpPr txBox="1"/>
          </xdr:nvSpPr>
          <xdr:spPr>
            <a:xfrm>
              <a:off x="5695552" y="3548999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G5Ap4</a:t>
              </a:r>
            </a:p>
          </xdr:txBody>
        </xdr:sp>
        <xdr:sp macro="" textlink="">
          <xdr:nvSpPr>
            <xdr:cNvPr id="29" name="TextBox 35">
              <a:extLst>
                <a:ext uri="{FF2B5EF4-FFF2-40B4-BE49-F238E27FC236}">
                  <a16:creationId xmlns:a16="http://schemas.microsoft.com/office/drawing/2014/main" id="{CFE5CC29-F28E-00CE-CD1E-48B11A56D310}"/>
                </a:ext>
              </a:extLst>
            </xdr:cNvPr>
            <xdr:cNvSpPr txBox="1"/>
          </xdr:nvSpPr>
          <xdr:spPr>
            <a:xfrm>
              <a:off x="6169707" y="322233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G1Ap1</a:t>
              </a:r>
            </a:p>
          </xdr:txBody>
        </xdr:sp>
        <xdr:sp macro="" textlink="">
          <xdr:nvSpPr>
            <xdr:cNvPr id="30" name="TextBox 36">
              <a:extLst>
                <a:ext uri="{FF2B5EF4-FFF2-40B4-BE49-F238E27FC236}">
                  <a16:creationId xmlns:a16="http://schemas.microsoft.com/office/drawing/2014/main" id="{5AF0A7EC-EA80-4AB5-5E62-47E21565AF85}"/>
                </a:ext>
              </a:extLst>
            </xdr:cNvPr>
            <xdr:cNvSpPr txBox="1"/>
          </xdr:nvSpPr>
          <xdr:spPr>
            <a:xfrm>
              <a:off x="5265864" y="3083133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G5Ap5</a:t>
              </a:r>
            </a:p>
          </xdr:txBody>
        </xdr:sp>
        <xdr:cxnSp macro="">
          <xdr:nvCxnSpPr>
            <xdr:cNvPr id="31" name="Straight Arrow Connector 30">
              <a:extLst>
                <a:ext uri="{FF2B5EF4-FFF2-40B4-BE49-F238E27FC236}">
                  <a16:creationId xmlns:a16="http://schemas.microsoft.com/office/drawing/2014/main" id="{C27C13FB-EB3E-2BFE-0D1E-3A2E04FF9378}"/>
                </a:ext>
              </a:extLst>
            </xdr:cNvPr>
            <xdr:cNvCxnSpPr>
              <a:cxnSpLocks/>
            </xdr:cNvCxnSpPr>
          </xdr:nvCxnSpPr>
          <xdr:spPr>
            <a:xfrm flipV="1">
              <a:off x="6721811" y="3025621"/>
              <a:ext cx="253883" cy="5982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90DA0366-2A4F-203C-45B3-9AD646FAA08F}"/>
                </a:ext>
              </a:extLst>
            </xdr:cNvPr>
            <xdr:cNvCxnSpPr>
              <a:cxnSpLocks/>
            </xdr:cNvCxnSpPr>
          </xdr:nvCxnSpPr>
          <xdr:spPr>
            <a:xfrm flipV="1">
              <a:off x="6720091" y="2719485"/>
              <a:ext cx="6603" cy="333781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" name="TextBox 39">
              <a:extLst>
                <a:ext uri="{FF2B5EF4-FFF2-40B4-BE49-F238E27FC236}">
                  <a16:creationId xmlns:a16="http://schemas.microsoft.com/office/drawing/2014/main" id="{9114291A-9918-B6B4-12D9-05146111CC01}"/>
                </a:ext>
              </a:extLst>
            </xdr:cNvPr>
            <xdr:cNvSpPr txBox="1"/>
          </xdr:nvSpPr>
          <xdr:spPr>
            <a:xfrm>
              <a:off x="6807890" y="2843853"/>
              <a:ext cx="243978" cy="20005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700">
                  <a:highlight>
                    <a:srgbClr val="00FF00"/>
                  </a:highlight>
                </a:rPr>
                <a:t>X</a:t>
              </a:r>
            </a:p>
          </xdr:txBody>
        </xdr:sp>
        <xdr:sp macro="" textlink="">
          <xdr:nvSpPr>
            <xdr:cNvPr id="34" name="TextBox 40">
              <a:extLst>
                <a:ext uri="{FF2B5EF4-FFF2-40B4-BE49-F238E27FC236}">
                  <a16:creationId xmlns:a16="http://schemas.microsoft.com/office/drawing/2014/main" id="{8ECB71BA-F692-9B25-640C-7ECD1FA4A157}"/>
                </a:ext>
              </a:extLst>
            </xdr:cNvPr>
            <xdr:cNvSpPr txBox="1"/>
          </xdr:nvSpPr>
          <xdr:spPr>
            <a:xfrm>
              <a:off x="6688661" y="2685122"/>
              <a:ext cx="243978" cy="20005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700">
                  <a:highlight>
                    <a:srgbClr val="00FF00"/>
                  </a:highlight>
                </a:rPr>
                <a:t>Y</a:t>
              </a:r>
            </a:p>
          </xdr:txBody>
        </xdr:sp>
      </xdr:grpSp>
    </xdr:grpSp>
    <xdr:clientData/>
  </xdr:twoCellAnchor>
  <xdr:oneCellAnchor>
    <xdr:from>
      <xdr:col>10</xdr:col>
      <xdr:colOff>104775</xdr:colOff>
      <xdr:row>25</xdr:row>
      <xdr:rowOff>161925</xdr:rowOff>
    </xdr:from>
    <xdr:ext cx="4481229" cy="7301160"/>
    <xdr:pic>
      <xdr:nvPicPr>
        <xdr:cNvPr id="35" name="Picture 34">
          <a:extLst>
            <a:ext uri="{FF2B5EF4-FFF2-40B4-BE49-F238E27FC236}">
              <a16:creationId xmlns:a16="http://schemas.microsoft.com/office/drawing/2014/main" id="{0476E596-37EB-4447-A2EB-5AEFA9057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9775" y="4606925"/>
          <a:ext cx="4481229" cy="730116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262890</xdr:colOff>
      <xdr:row>0</xdr:row>
      <xdr:rowOff>9525</xdr:rowOff>
    </xdr:from>
    <xdr:to>
      <xdr:col>18</xdr:col>
      <xdr:colOff>280035</xdr:colOff>
      <xdr:row>24</xdr:row>
      <xdr:rowOff>128189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D1DDD59-DB04-FA4D-A59A-2C84CB050563}"/>
            </a:ext>
          </a:extLst>
        </xdr:cNvPr>
        <xdr:cNvGrpSpPr/>
      </xdr:nvGrpSpPr>
      <xdr:grpSpPr>
        <a:xfrm>
          <a:off x="7484918" y="9525"/>
          <a:ext cx="5179080" cy="4408572"/>
          <a:chOff x="5022680" y="1344217"/>
          <a:chExt cx="3686110" cy="356164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8AB67581-2D82-2102-095D-57DF77620D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022680" y="1344217"/>
            <a:ext cx="3686110" cy="3561643"/>
          </a:xfrm>
          <a:prstGeom prst="rect">
            <a:avLst/>
          </a:prstGeom>
        </xdr:spPr>
      </xdr:pic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31159730-36D2-2AA6-EFE4-02822D3BE78C}"/>
              </a:ext>
            </a:extLst>
          </xdr:cNvPr>
          <xdr:cNvGrpSpPr/>
        </xdr:nvGrpSpPr>
        <xdr:grpSpPr>
          <a:xfrm>
            <a:off x="5645900" y="1852532"/>
            <a:ext cx="2792531" cy="2606722"/>
            <a:chOff x="5265864" y="1783746"/>
            <a:chExt cx="2792531" cy="2606722"/>
          </a:xfrm>
        </xdr:grpSpPr>
        <xdr:sp macro="" textlink="">
          <xdr:nvSpPr>
            <xdr:cNvPr id="5" name="TextBox 11">
              <a:extLst>
                <a:ext uri="{FF2B5EF4-FFF2-40B4-BE49-F238E27FC236}">
                  <a16:creationId xmlns:a16="http://schemas.microsoft.com/office/drawing/2014/main" id="{703FED9D-F864-1482-49C2-1EF61B048656}"/>
                </a:ext>
              </a:extLst>
            </xdr:cNvPr>
            <xdr:cNvSpPr txBox="1"/>
          </xdr:nvSpPr>
          <xdr:spPr>
            <a:xfrm>
              <a:off x="6514937" y="3137551"/>
              <a:ext cx="423514" cy="20005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700">
                  <a:highlight>
                    <a:srgbClr val="FFFF00"/>
                  </a:highlight>
                </a:rPr>
                <a:t>Aper0</a:t>
              </a:r>
            </a:p>
          </xdr:txBody>
        </xdr:sp>
        <xdr:sp macro="" textlink="">
          <xdr:nvSpPr>
            <xdr:cNvPr id="6" name="TextBox 12">
              <a:extLst>
                <a:ext uri="{FF2B5EF4-FFF2-40B4-BE49-F238E27FC236}">
                  <a16:creationId xmlns:a16="http://schemas.microsoft.com/office/drawing/2014/main" id="{119F48B9-1FD8-AB8B-20E0-2F2CFB0C6524}"/>
                </a:ext>
              </a:extLst>
            </xdr:cNvPr>
            <xdr:cNvSpPr txBox="1"/>
          </xdr:nvSpPr>
          <xdr:spPr>
            <a:xfrm>
              <a:off x="6205949" y="2634782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G2Ap1</a:t>
              </a:r>
            </a:p>
          </xdr:txBody>
        </xdr:sp>
        <xdr:sp macro="" textlink="">
          <xdr:nvSpPr>
            <xdr:cNvPr id="7" name="TextBox 13">
              <a:extLst>
                <a:ext uri="{FF2B5EF4-FFF2-40B4-BE49-F238E27FC236}">
                  <a16:creationId xmlns:a16="http://schemas.microsoft.com/office/drawing/2014/main" id="{4F66797F-D38B-D07D-ACAE-90F6E3ABCE58}"/>
                </a:ext>
              </a:extLst>
            </xdr:cNvPr>
            <xdr:cNvSpPr txBox="1"/>
          </xdr:nvSpPr>
          <xdr:spPr>
            <a:xfrm>
              <a:off x="6193360" y="245156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G2Ap2</a:t>
              </a:r>
            </a:p>
          </xdr:txBody>
        </xdr:sp>
        <xdr:sp macro="" textlink="">
          <xdr:nvSpPr>
            <xdr:cNvPr id="8" name="TextBox 14">
              <a:extLst>
                <a:ext uri="{FF2B5EF4-FFF2-40B4-BE49-F238E27FC236}">
                  <a16:creationId xmlns:a16="http://schemas.microsoft.com/office/drawing/2014/main" id="{064A85A9-F0A2-D484-EEF9-D43C8FEA4462}"/>
                </a:ext>
              </a:extLst>
            </xdr:cNvPr>
            <xdr:cNvSpPr txBox="1"/>
          </xdr:nvSpPr>
          <xdr:spPr>
            <a:xfrm>
              <a:off x="5770676" y="280358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G1Ap3</a:t>
              </a:r>
            </a:p>
          </xdr:txBody>
        </xdr:sp>
        <xdr:sp macro="" textlink="">
          <xdr:nvSpPr>
            <xdr:cNvPr id="9" name="TextBox 15">
              <a:extLst>
                <a:ext uri="{FF2B5EF4-FFF2-40B4-BE49-F238E27FC236}">
                  <a16:creationId xmlns:a16="http://schemas.microsoft.com/office/drawing/2014/main" id="{E99B529A-3D8D-8930-15B6-998F3A89C0C3}"/>
                </a:ext>
              </a:extLst>
            </xdr:cNvPr>
            <xdr:cNvSpPr txBox="1"/>
          </xdr:nvSpPr>
          <xdr:spPr>
            <a:xfrm>
              <a:off x="5720549" y="2336194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G1Ap4</a:t>
              </a:r>
            </a:p>
          </xdr:txBody>
        </xdr:sp>
        <xdr:sp macro="" textlink="">
          <xdr:nvSpPr>
            <xdr:cNvPr id="10" name="TextBox 16">
              <a:extLst>
                <a:ext uri="{FF2B5EF4-FFF2-40B4-BE49-F238E27FC236}">
                  <a16:creationId xmlns:a16="http://schemas.microsoft.com/office/drawing/2014/main" id="{70BEB39A-C70D-E40D-4BFE-5BA7C5CA2F88}"/>
                </a:ext>
              </a:extLst>
            </xdr:cNvPr>
            <xdr:cNvSpPr txBox="1"/>
          </xdr:nvSpPr>
          <xdr:spPr>
            <a:xfrm>
              <a:off x="5967238" y="178374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G1Ap5</a:t>
              </a:r>
            </a:p>
          </xdr:txBody>
        </xdr:sp>
        <xdr:sp macro="" textlink="">
          <xdr:nvSpPr>
            <xdr:cNvPr id="11" name="TextBox 17">
              <a:extLst>
                <a:ext uri="{FF2B5EF4-FFF2-40B4-BE49-F238E27FC236}">
                  <a16:creationId xmlns:a16="http://schemas.microsoft.com/office/drawing/2014/main" id="{E82A4A54-580B-25B9-9025-D2612223E870}"/>
                </a:ext>
              </a:extLst>
            </xdr:cNvPr>
            <xdr:cNvSpPr txBox="1"/>
          </xdr:nvSpPr>
          <xdr:spPr>
            <a:xfrm>
              <a:off x="5944767" y="3145173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G1Ap2</a:t>
              </a:r>
            </a:p>
          </xdr:txBody>
        </xdr:sp>
        <xdr:sp macro="" textlink="">
          <xdr:nvSpPr>
            <xdr:cNvPr id="12" name="TextBox 18">
              <a:extLst>
                <a:ext uri="{FF2B5EF4-FFF2-40B4-BE49-F238E27FC236}">
                  <a16:creationId xmlns:a16="http://schemas.microsoft.com/office/drawing/2014/main" id="{E433C744-5688-63DC-C2CB-161806A9107D}"/>
                </a:ext>
              </a:extLst>
            </xdr:cNvPr>
            <xdr:cNvSpPr txBox="1"/>
          </xdr:nvSpPr>
          <xdr:spPr>
            <a:xfrm>
              <a:off x="6466582" y="2234767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G2Ap3</a:t>
              </a:r>
            </a:p>
          </xdr:txBody>
        </xdr:sp>
        <xdr:sp macro="" textlink="">
          <xdr:nvSpPr>
            <xdr:cNvPr id="13" name="TextBox 19">
              <a:extLst>
                <a:ext uri="{FF2B5EF4-FFF2-40B4-BE49-F238E27FC236}">
                  <a16:creationId xmlns:a16="http://schemas.microsoft.com/office/drawing/2014/main" id="{D92AB03B-89CE-E4CE-65AD-DD15D7018178}"/>
                </a:ext>
              </a:extLst>
            </xdr:cNvPr>
            <xdr:cNvSpPr txBox="1"/>
          </xdr:nvSpPr>
          <xdr:spPr>
            <a:xfrm>
              <a:off x="6841078" y="1982039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G2Ap4</a:t>
              </a:r>
            </a:p>
          </xdr:txBody>
        </xdr:sp>
        <xdr:sp macro="" textlink="">
          <xdr:nvSpPr>
            <xdr:cNvPr id="14" name="TextBox 20">
              <a:extLst>
                <a:ext uri="{FF2B5EF4-FFF2-40B4-BE49-F238E27FC236}">
                  <a16:creationId xmlns:a16="http://schemas.microsoft.com/office/drawing/2014/main" id="{82A6C05A-05A9-0105-98D1-F7772EFB88A6}"/>
                </a:ext>
              </a:extLst>
            </xdr:cNvPr>
            <xdr:cNvSpPr txBox="1"/>
          </xdr:nvSpPr>
          <xdr:spPr>
            <a:xfrm>
              <a:off x="7419566" y="205393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G2Ap5</a:t>
              </a:r>
            </a:p>
          </xdr:txBody>
        </xdr:sp>
        <xdr:sp macro="" textlink="">
          <xdr:nvSpPr>
            <xdr:cNvPr id="15" name="TextBox 21">
              <a:extLst>
                <a:ext uri="{FF2B5EF4-FFF2-40B4-BE49-F238E27FC236}">
                  <a16:creationId xmlns:a16="http://schemas.microsoft.com/office/drawing/2014/main" id="{C1419F7C-E2DA-3F0E-3D13-9D3CD078EBA6}"/>
                </a:ext>
              </a:extLst>
            </xdr:cNvPr>
            <xdr:cNvSpPr txBox="1"/>
          </xdr:nvSpPr>
          <xdr:spPr>
            <a:xfrm>
              <a:off x="6688661" y="253360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G3Ap1</a:t>
              </a:r>
            </a:p>
          </xdr:txBody>
        </xdr:sp>
        <xdr:sp macro="" textlink="">
          <xdr:nvSpPr>
            <xdr:cNvPr id="16" name="TextBox 22">
              <a:extLst>
                <a:ext uri="{FF2B5EF4-FFF2-40B4-BE49-F238E27FC236}">
                  <a16:creationId xmlns:a16="http://schemas.microsoft.com/office/drawing/2014/main" id="{8A4D7124-4EB3-A13E-52F2-C3A2AA73B5C2}"/>
                </a:ext>
              </a:extLst>
            </xdr:cNvPr>
            <xdr:cNvSpPr txBox="1"/>
          </xdr:nvSpPr>
          <xdr:spPr>
            <a:xfrm>
              <a:off x="6907841" y="241059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G3Ap2</a:t>
              </a:r>
            </a:p>
          </xdr:txBody>
        </xdr:sp>
        <xdr:sp macro="" textlink="">
          <xdr:nvSpPr>
            <xdr:cNvPr id="17" name="TextBox 23">
              <a:extLst>
                <a:ext uri="{FF2B5EF4-FFF2-40B4-BE49-F238E27FC236}">
                  <a16:creationId xmlns:a16="http://schemas.microsoft.com/office/drawing/2014/main" id="{717CD263-3DD8-8EE4-5C1E-95D1CF4FFB75}"/>
                </a:ext>
              </a:extLst>
            </xdr:cNvPr>
            <xdr:cNvSpPr txBox="1"/>
          </xdr:nvSpPr>
          <xdr:spPr>
            <a:xfrm>
              <a:off x="7243238" y="2592480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G3Ap3</a:t>
              </a:r>
            </a:p>
          </xdr:txBody>
        </xdr:sp>
        <xdr:sp macro="" textlink="">
          <xdr:nvSpPr>
            <xdr:cNvPr id="18" name="TextBox 24">
              <a:extLst>
                <a:ext uri="{FF2B5EF4-FFF2-40B4-BE49-F238E27FC236}">
                  <a16:creationId xmlns:a16="http://schemas.microsoft.com/office/drawing/2014/main" id="{41414F89-D6DF-D4AB-FD62-0C7A073C690B}"/>
                </a:ext>
              </a:extLst>
            </xdr:cNvPr>
            <xdr:cNvSpPr txBox="1"/>
          </xdr:nvSpPr>
          <xdr:spPr>
            <a:xfrm>
              <a:off x="7576650" y="2940982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G3Ap4</a:t>
              </a:r>
            </a:p>
          </xdr:txBody>
        </xdr:sp>
        <xdr:sp macro="" textlink="">
          <xdr:nvSpPr>
            <xdr:cNvPr id="19" name="TextBox 25">
              <a:extLst>
                <a:ext uri="{FF2B5EF4-FFF2-40B4-BE49-F238E27FC236}">
                  <a16:creationId xmlns:a16="http://schemas.microsoft.com/office/drawing/2014/main" id="{19D4A098-27DD-C891-1191-69996E2A1A84}"/>
                </a:ext>
              </a:extLst>
            </xdr:cNvPr>
            <xdr:cNvSpPr txBox="1"/>
          </xdr:nvSpPr>
          <xdr:spPr>
            <a:xfrm>
              <a:off x="7674957" y="3530077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G3Ap5</a:t>
              </a:r>
            </a:p>
          </xdr:txBody>
        </xdr:sp>
        <xdr:sp macro="" textlink="">
          <xdr:nvSpPr>
            <xdr:cNvPr id="20" name="TextBox 26">
              <a:extLst>
                <a:ext uri="{FF2B5EF4-FFF2-40B4-BE49-F238E27FC236}">
                  <a16:creationId xmlns:a16="http://schemas.microsoft.com/office/drawing/2014/main" id="{1D5313C7-6117-6007-A796-423FC3677C54}"/>
                </a:ext>
              </a:extLst>
            </xdr:cNvPr>
            <xdr:cNvSpPr txBox="1"/>
          </xdr:nvSpPr>
          <xdr:spPr>
            <a:xfrm>
              <a:off x="7000551" y="2952058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G4Ap1</a:t>
              </a:r>
            </a:p>
          </xdr:txBody>
        </xdr:sp>
        <xdr:sp macro="" textlink="">
          <xdr:nvSpPr>
            <xdr:cNvPr id="21" name="TextBox 27">
              <a:extLst>
                <a:ext uri="{FF2B5EF4-FFF2-40B4-BE49-F238E27FC236}">
                  <a16:creationId xmlns:a16="http://schemas.microsoft.com/office/drawing/2014/main" id="{156FC1B5-CA8A-2760-E4E2-1479E27DE24E}"/>
                </a:ext>
              </a:extLst>
            </xdr:cNvPr>
            <xdr:cNvSpPr txBox="1"/>
          </xdr:nvSpPr>
          <xdr:spPr>
            <a:xfrm>
              <a:off x="7146932" y="3130380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G4Ap2</a:t>
              </a:r>
            </a:p>
          </xdr:txBody>
        </xdr:sp>
        <xdr:sp macro="" textlink="">
          <xdr:nvSpPr>
            <xdr:cNvPr id="22" name="TextBox 28">
              <a:extLst>
                <a:ext uri="{FF2B5EF4-FFF2-40B4-BE49-F238E27FC236}">
                  <a16:creationId xmlns:a16="http://schemas.microsoft.com/office/drawing/2014/main" id="{2776ECFC-E9EA-F977-08B6-FE17EDDBD02A}"/>
                </a:ext>
              </a:extLst>
            </xdr:cNvPr>
            <xdr:cNvSpPr txBox="1"/>
          </xdr:nvSpPr>
          <xdr:spPr>
            <a:xfrm>
              <a:off x="7087199" y="3487127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G4Ap3</a:t>
              </a:r>
            </a:p>
          </xdr:txBody>
        </xdr:sp>
        <xdr:sp macro="" textlink="">
          <xdr:nvSpPr>
            <xdr:cNvPr id="23" name="TextBox 29">
              <a:extLst>
                <a:ext uri="{FF2B5EF4-FFF2-40B4-BE49-F238E27FC236}">
                  <a16:creationId xmlns:a16="http://schemas.microsoft.com/office/drawing/2014/main" id="{F72F4957-C3C9-7EE9-3918-0D6AD619475F}"/>
                </a:ext>
              </a:extLst>
            </xdr:cNvPr>
            <xdr:cNvSpPr txBox="1"/>
          </xdr:nvSpPr>
          <xdr:spPr>
            <a:xfrm>
              <a:off x="6945404" y="3905332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G4Ap4</a:t>
              </a:r>
            </a:p>
          </xdr:txBody>
        </xdr:sp>
        <xdr:sp macro="" textlink="">
          <xdr:nvSpPr>
            <xdr:cNvPr id="24" name="TextBox 30">
              <a:extLst>
                <a:ext uri="{FF2B5EF4-FFF2-40B4-BE49-F238E27FC236}">
                  <a16:creationId xmlns:a16="http://schemas.microsoft.com/office/drawing/2014/main" id="{13BF0C15-81BF-5872-C736-63360DF29C75}"/>
                </a:ext>
              </a:extLst>
            </xdr:cNvPr>
            <xdr:cNvSpPr txBox="1"/>
          </xdr:nvSpPr>
          <xdr:spPr>
            <a:xfrm>
              <a:off x="6370247" y="4221191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G4Ap5</a:t>
              </a:r>
            </a:p>
          </xdr:txBody>
        </xdr:sp>
        <xdr:sp macro="" textlink="">
          <xdr:nvSpPr>
            <xdr:cNvPr id="25" name="TextBox 31">
              <a:extLst>
                <a:ext uri="{FF2B5EF4-FFF2-40B4-BE49-F238E27FC236}">
                  <a16:creationId xmlns:a16="http://schemas.microsoft.com/office/drawing/2014/main" id="{6534FD20-EDBD-43C1-A723-1306ECF0242E}"/>
                </a:ext>
              </a:extLst>
            </xdr:cNvPr>
            <xdr:cNvSpPr txBox="1"/>
          </xdr:nvSpPr>
          <xdr:spPr>
            <a:xfrm>
              <a:off x="6621090" y="3360921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G5Ap1</a:t>
              </a:r>
            </a:p>
          </xdr:txBody>
        </xdr:sp>
        <xdr:sp macro="" textlink="">
          <xdr:nvSpPr>
            <xdr:cNvPr id="26" name="TextBox 32">
              <a:extLst>
                <a:ext uri="{FF2B5EF4-FFF2-40B4-BE49-F238E27FC236}">
                  <a16:creationId xmlns:a16="http://schemas.microsoft.com/office/drawing/2014/main" id="{756D277E-18BB-AFEB-AB54-7579BAF279F3}"/>
                </a:ext>
              </a:extLst>
            </xdr:cNvPr>
            <xdr:cNvSpPr txBox="1"/>
          </xdr:nvSpPr>
          <xdr:spPr>
            <a:xfrm>
              <a:off x="6561966" y="3590807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G5Ap2</a:t>
              </a:r>
            </a:p>
          </xdr:txBody>
        </xdr:sp>
        <xdr:sp macro="" textlink="">
          <xdr:nvSpPr>
            <xdr:cNvPr id="27" name="TextBox 33">
              <a:extLst>
                <a:ext uri="{FF2B5EF4-FFF2-40B4-BE49-F238E27FC236}">
                  <a16:creationId xmlns:a16="http://schemas.microsoft.com/office/drawing/2014/main" id="{B243DCA5-91B7-509A-14D8-03A0A68F6F2A}"/>
                </a:ext>
              </a:extLst>
            </xdr:cNvPr>
            <xdr:cNvSpPr txBox="1"/>
          </xdr:nvSpPr>
          <xdr:spPr>
            <a:xfrm>
              <a:off x="6205949" y="3614983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G5Ap3</a:t>
              </a:r>
            </a:p>
          </xdr:txBody>
        </xdr:sp>
        <xdr:sp macro="" textlink="">
          <xdr:nvSpPr>
            <xdr:cNvPr id="28" name="TextBox 34">
              <a:extLst>
                <a:ext uri="{FF2B5EF4-FFF2-40B4-BE49-F238E27FC236}">
                  <a16:creationId xmlns:a16="http://schemas.microsoft.com/office/drawing/2014/main" id="{A16EFB89-825E-4DAE-6FDE-4D91628EECDC}"/>
                </a:ext>
              </a:extLst>
            </xdr:cNvPr>
            <xdr:cNvSpPr txBox="1"/>
          </xdr:nvSpPr>
          <xdr:spPr>
            <a:xfrm>
              <a:off x="5695552" y="3548999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G5Ap4</a:t>
              </a:r>
            </a:p>
          </xdr:txBody>
        </xdr:sp>
        <xdr:sp macro="" textlink="">
          <xdr:nvSpPr>
            <xdr:cNvPr id="29" name="TextBox 35">
              <a:extLst>
                <a:ext uri="{FF2B5EF4-FFF2-40B4-BE49-F238E27FC236}">
                  <a16:creationId xmlns:a16="http://schemas.microsoft.com/office/drawing/2014/main" id="{6DD4E4E1-A8F2-E648-F441-A0B2CE706FCD}"/>
                </a:ext>
              </a:extLst>
            </xdr:cNvPr>
            <xdr:cNvSpPr txBox="1"/>
          </xdr:nvSpPr>
          <xdr:spPr>
            <a:xfrm>
              <a:off x="6169707" y="3222336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G1Ap1</a:t>
              </a:r>
            </a:p>
          </xdr:txBody>
        </xdr:sp>
        <xdr:sp macro="" textlink="">
          <xdr:nvSpPr>
            <xdr:cNvPr id="30" name="TextBox 36">
              <a:extLst>
                <a:ext uri="{FF2B5EF4-FFF2-40B4-BE49-F238E27FC236}">
                  <a16:creationId xmlns:a16="http://schemas.microsoft.com/office/drawing/2014/main" id="{7B6C3D43-99BF-5330-EFC4-2CF06BC108FE}"/>
                </a:ext>
              </a:extLst>
            </xdr:cNvPr>
            <xdr:cNvSpPr txBox="1"/>
          </xdr:nvSpPr>
          <xdr:spPr>
            <a:xfrm>
              <a:off x="5265864" y="3083133"/>
              <a:ext cx="383438" cy="1692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500">
                  <a:highlight>
                    <a:srgbClr val="FFFF00"/>
                  </a:highlight>
                </a:rPr>
                <a:t>G5Ap5</a:t>
              </a:r>
            </a:p>
          </xdr:txBody>
        </xdr:sp>
        <xdr:cxnSp macro="">
          <xdr:nvCxnSpPr>
            <xdr:cNvPr id="31" name="Straight Arrow Connector 30">
              <a:extLst>
                <a:ext uri="{FF2B5EF4-FFF2-40B4-BE49-F238E27FC236}">
                  <a16:creationId xmlns:a16="http://schemas.microsoft.com/office/drawing/2014/main" id="{46A0E798-E57A-5393-55E3-D7FE66C592B3}"/>
                </a:ext>
              </a:extLst>
            </xdr:cNvPr>
            <xdr:cNvCxnSpPr>
              <a:cxnSpLocks/>
            </xdr:cNvCxnSpPr>
          </xdr:nvCxnSpPr>
          <xdr:spPr>
            <a:xfrm flipV="1">
              <a:off x="6721811" y="3025621"/>
              <a:ext cx="253883" cy="5982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0412DCA9-24CE-85B5-1861-25FB1371D639}"/>
                </a:ext>
              </a:extLst>
            </xdr:cNvPr>
            <xdr:cNvCxnSpPr>
              <a:cxnSpLocks/>
            </xdr:cNvCxnSpPr>
          </xdr:nvCxnSpPr>
          <xdr:spPr>
            <a:xfrm flipV="1">
              <a:off x="6720091" y="2719485"/>
              <a:ext cx="6603" cy="333781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" name="TextBox 39">
              <a:extLst>
                <a:ext uri="{FF2B5EF4-FFF2-40B4-BE49-F238E27FC236}">
                  <a16:creationId xmlns:a16="http://schemas.microsoft.com/office/drawing/2014/main" id="{F9F0BC22-8C24-4395-21AF-CE21E9EF8E41}"/>
                </a:ext>
              </a:extLst>
            </xdr:cNvPr>
            <xdr:cNvSpPr txBox="1"/>
          </xdr:nvSpPr>
          <xdr:spPr>
            <a:xfrm>
              <a:off x="6807890" y="2843853"/>
              <a:ext cx="243978" cy="20005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700">
                  <a:highlight>
                    <a:srgbClr val="00FF00"/>
                  </a:highlight>
                </a:rPr>
                <a:t>X</a:t>
              </a:r>
            </a:p>
          </xdr:txBody>
        </xdr:sp>
        <xdr:sp macro="" textlink="">
          <xdr:nvSpPr>
            <xdr:cNvPr id="34" name="TextBox 40">
              <a:extLst>
                <a:ext uri="{FF2B5EF4-FFF2-40B4-BE49-F238E27FC236}">
                  <a16:creationId xmlns:a16="http://schemas.microsoft.com/office/drawing/2014/main" id="{EF36F2B2-470C-EDCA-D26B-66BB767C6751}"/>
                </a:ext>
              </a:extLst>
            </xdr:cNvPr>
            <xdr:cNvSpPr txBox="1"/>
          </xdr:nvSpPr>
          <xdr:spPr>
            <a:xfrm>
              <a:off x="6688661" y="2685122"/>
              <a:ext cx="243978" cy="20005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r>
                <a:rPr lang="en-US" sz="700">
                  <a:highlight>
                    <a:srgbClr val="00FF00"/>
                  </a:highlight>
                </a:rPr>
                <a:t>Y</a:t>
              </a:r>
            </a:p>
          </xdr:txBody>
        </xdr:sp>
      </xdr:grpSp>
    </xdr:grpSp>
    <xdr:clientData/>
  </xdr:twoCellAnchor>
  <xdr:oneCellAnchor>
    <xdr:from>
      <xdr:col>10</xdr:col>
      <xdr:colOff>104775</xdr:colOff>
      <xdr:row>25</xdr:row>
      <xdr:rowOff>161925</xdr:rowOff>
    </xdr:from>
    <xdr:ext cx="4481229" cy="7301160"/>
    <xdr:pic>
      <xdr:nvPicPr>
        <xdr:cNvPr id="35" name="Picture 34">
          <a:extLst>
            <a:ext uri="{FF2B5EF4-FFF2-40B4-BE49-F238E27FC236}">
              <a16:creationId xmlns:a16="http://schemas.microsoft.com/office/drawing/2014/main" id="{6F321C8F-479F-8F4D-9DD5-718C6A178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9775" y="4606925"/>
          <a:ext cx="4481229" cy="73011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68F4-B764-41A2-A33B-E17771BCEC69}">
  <dimension ref="B2:N38"/>
  <sheetViews>
    <sheetView showGridLines="0" zoomScale="224" workbookViewId="0">
      <selection activeCell="A6" sqref="A6"/>
    </sheetView>
  </sheetViews>
  <sheetFormatPr baseColWidth="10" defaultColWidth="9" defaultRowHeight="14" x14ac:dyDescent="0.15"/>
  <cols>
    <col min="5" max="5" width="12.19921875" bestFit="1" customWidth="1"/>
    <col min="6" max="6" width="21.3984375" customWidth="1"/>
    <col min="7" max="7" width="15.19921875" bestFit="1" customWidth="1"/>
    <col min="8" max="8" width="16.3984375" customWidth="1"/>
    <col min="9" max="9" width="12.3984375" bestFit="1" customWidth="1"/>
  </cols>
  <sheetData>
    <row r="2" spans="2:14" ht="20" x14ac:dyDescent="0.2">
      <c r="B2" s="6" t="s">
        <v>38</v>
      </c>
      <c r="C2" s="6"/>
      <c r="D2" s="6"/>
      <c r="E2" s="6"/>
      <c r="F2" s="6"/>
      <c r="G2" s="6"/>
      <c r="H2" s="6"/>
      <c r="I2" s="6"/>
    </row>
    <row r="3" spans="2:14" x14ac:dyDescent="0.15">
      <c r="B3" s="7" t="s">
        <v>1</v>
      </c>
      <c r="C3" s="8"/>
      <c r="D3" s="8"/>
      <c r="E3" s="8"/>
      <c r="F3" s="8"/>
      <c r="G3" s="8"/>
      <c r="H3" s="8"/>
      <c r="I3" s="9"/>
    </row>
    <row r="4" spans="2:14" x14ac:dyDescent="0.15">
      <c r="B4" s="1" t="s">
        <v>9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39</v>
      </c>
      <c r="I4" s="1" t="s">
        <v>7</v>
      </c>
      <c r="K4" s="10"/>
      <c r="L4" s="10"/>
      <c r="M4" s="10"/>
      <c r="N4" s="10"/>
    </row>
    <row r="5" spans="2:14" x14ac:dyDescent="0.15">
      <c r="B5" s="2" t="s">
        <v>10</v>
      </c>
      <c r="C5" s="2">
        <v>-0.28599999999999998</v>
      </c>
      <c r="D5" s="2">
        <v>0.34399999999999997</v>
      </c>
      <c r="E5" s="2">
        <v>0.252</v>
      </c>
      <c r="F5" s="2">
        <v>-2.2021800000000002</v>
      </c>
      <c r="G5" s="2">
        <v>2.6441400000000002</v>
      </c>
      <c r="H5" s="2">
        <v>17.043400000000002</v>
      </c>
      <c r="I5" s="2">
        <v>0.74930000000000008</v>
      </c>
    </row>
    <row r="6" spans="2:14" x14ac:dyDescent="0.15">
      <c r="B6" s="2"/>
      <c r="C6" s="4" t="s">
        <v>0</v>
      </c>
      <c r="D6" s="5"/>
      <c r="E6" s="5"/>
      <c r="F6" s="5"/>
      <c r="G6" s="5"/>
      <c r="H6" s="5"/>
      <c r="I6" s="5"/>
    </row>
    <row r="7" spans="2:14" x14ac:dyDescent="0.15">
      <c r="B7" s="2" t="s">
        <v>11</v>
      </c>
      <c r="C7" s="3">
        <v>-5.729578906238611E-2</v>
      </c>
      <c r="D7" s="3">
        <v>0.11459163542067097</v>
      </c>
      <c r="E7" s="3">
        <v>-2.6999999999999247E-2</v>
      </c>
      <c r="F7" s="3">
        <v>-0.58419999999999206</v>
      </c>
      <c r="G7" s="3">
        <v>0.50800000000000045</v>
      </c>
      <c r="H7" s="3">
        <v>1.0159999999999999E-2</v>
      </c>
      <c r="I7" s="2" t="s">
        <v>8</v>
      </c>
    </row>
    <row r="8" spans="2:14" x14ac:dyDescent="0.15">
      <c r="B8" s="2" t="s">
        <v>12</v>
      </c>
      <c r="C8" s="3">
        <v>0.68756585641085832</v>
      </c>
      <c r="D8" s="3">
        <v>0</v>
      </c>
      <c r="E8" s="3">
        <v>-6.4999999999999503E-2</v>
      </c>
      <c r="F8" s="3">
        <v>0.10159999999998881</v>
      </c>
      <c r="G8" s="3">
        <v>0.71120000000000072</v>
      </c>
      <c r="H8" s="3">
        <v>0.21081999999999998</v>
      </c>
      <c r="I8" s="2" t="s">
        <v>8</v>
      </c>
    </row>
    <row r="9" spans="2:14" x14ac:dyDescent="0.15">
      <c r="B9" s="2" t="s">
        <v>13</v>
      </c>
      <c r="C9" s="3">
        <v>0.34377673975997053</v>
      </c>
      <c r="D9" s="3">
        <v>0.51566897730870676</v>
      </c>
      <c r="E9" s="3">
        <v>-7.4999999999988631E-2</v>
      </c>
      <c r="F9" s="3">
        <v>-0.78739999999999222</v>
      </c>
      <c r="G9" s="3">
        <v>-0.40640000000000037</v>
      </c>
      <c r="H9" s="3">
        <v>-0.20320000000000002</v>
      </c>
      <c r="I9" s="2" t="s">
        <v>8</v>
      </c>
    </row>
    <row r="10" spans="2:14" x14ac:dyDescent="0.15">
      <c r="B10" s="2" t="s">
        <v>14</v>
      </c>
      <c r="C10" s="3">
        <v>0.28648009124091034</v>
      </c>
      <c r="D10" s="3">
        <v>0.34377673975997053</v>
      </c>
      <c r="E10" s="3">
        <v>-0.12899999999999068</v>
      </c>
      <c r="F10" s="3">
        <v>0.5842000000000146</v>
      </c>
      <c r="G10" s="3">
        <v>0.45719999999999478</v>
      </c>
      <c r="H10" s="3">
        <v>-0.63500000000000001</v>
      </c>
      <c r="I10" s="2" t="s">
        <v>8</v>
      </c>
    </row>
    <row r="11" spans="2:14" x14ac:dyDescent="0.15">
      <c r="B11" s="2" t="s">
        <v>15</v>
      </c>
      <c r="C11" s="3">
        <v>5.729578906238611E-2</v>
      </c>
      <c r="D11" s="3">
        <v>-5.729578906238611E-2</v>
      </c>
      <c r="E11" s="3">
        <v>-0.14799999999999613</v>
      </c>
      <c r="F11" s="3">
        <v>0.5842000000000146</v>
      </c>
      <c r="G11" s="3">
        <v>0.25400000000003975</v>
      </c>
      <c r="H11" s="3">
        <v>-1.1988799999999999</v>
      </c>
      <c r="I11" s="2" t="s">
        <v>8</v>
      </c>
    </row>
    <row r="12" spans="2:14" x14ac:dyDescent="0.15">
      <c r="B12" s="2" t="s">
        <v>16</v>
      </c>
      <c r="C12" s="3">
        <v>-0.22918372921171254</v>
      </c>
      <c r="D12" s="3">
        <v>0.28648009124091034</v>
      </c>
      <c r="E12" s="3">
        <v>-4.9999999999997158E-2</v>
      </c>
      <c r="F12" s="3">
        <v>0.17780000000000298</v>
      </c>
      <c r="G12" s="3">
        <v>0.76199999999999513</v>
      </c>
      <c r="H12" s="3">
        <v>-9.1440000000000007E-2</v>
      </c>
      <c r="I12" s="2" t="s">
        <v>8</v>
      </c>
    </row>
    <row r="13" spans="2:14" x14ac:dyDescent="0.15">
      <c r="B13" s="2" t="s">
        <v>17</v>
      </c>
      <c r="C13" s="3">
        <v>-0.28648009124091034</v>
      </c>
      <c r="D13" s="3">
        <v>0.28648009124091034</v>
      </c>
      <c r="E13" s="3">
        <v>3.7000000000006139E-2</v>
      </c>
      <c r="F13" s="3">
        <v>0.58419999999999206</v>
      </c>
      <c r="G13" s="3">
        <v>0.12699999999999728</v>
      </c>
      <c r="H13" s="3">
        <v>-0.27178000000000002</v>
      </c>
      <c r="I13" s="2" t="s">
        <v>8</v>
      </c>
    </row>
    <row r="14" spans="2:14" x14ac:dyDescent="0.15">
      <c r="B14" s="2" t="s">
        <v>18</v>
      </c>
      <c r="C14" s="3">
        <v>5.729578906238611E-2</v>
      </c>
      <c r="D14" s="3">
        <v>0.45837112548533043</v>
      </c>
      <c r="E14" s="3">
        <v>0.11599999999999966</v>
      </c>
      <c r="F14" s="3">
        <v>0.78739999999999788</v>
      </c>
      <c r="G14" s="3">
        <v>-5.0799999999994405E-2</v>
      </c>
      <c r="H14" s="3">
        <v>-0.82295999999999991</v>
      </c>
      <c r="I14" s="2" t="s">
        <v>8</v>
      </c>
    </row>
    <row r="15" spans="2:14" x14ac:dyDescent="0.15">
      <c r="B15" s="2" t="s">
        <v>19</v>
      </c>
      <c r="C15" s="3">
        <v>-0.45837112548533043</v>
      </c>
      <c r="D15" s="3">
        <v>0.34377673975997053</v>
      </c>
      <c r="E15" s="3">
        <v>0.21499999999999986</v>
      </c>
      <c r="F15" s="3">
        <v>0.73659999999999781</v>
      </c>
      <c r="G15" s="3">
        <v>-0.22860000000000869</v>
      </c>
      <c r="H15" s="3">
        <v>-1.19126</v>
      </c>
      <c r="I15" s="2" t="s">
        <v>8</v>
      </c>
    </row>
    <row r="16" spans="2:14" x14ac:dyDescent="0.15">
      <c r="B16" s="2" t="s">
        <v>20</v>
      </c>
      <c r="C16" s="3">
        <v>-0.34377673975997053</v>
      </c>
      <c r="D16" s="3">
        <v>0.40107373207252695</v>
      </c>
      <c r="E16" s="3">
        <v>-0.26199999999999868</v>
      </c>
      <c r="F16" s="3">
        <v>0.55880000000000607</v>
      </c>
      <c r="G16" s="3">
        <v>-0.22860000000000869</v>
      </c>
      <c r="H16" s="3">
        <v>-1.7780000000000001E-2</v>
      </c>
      <c r="I16" s="2" t="s">
        <v>8</v>
      </c>
    </row>
    <row r="17" spans="2:9" x14ac:dyDescent="0.15">
      <c r="B17" s="2" t="s">
        <v>21</v>
      </c>
      <c r="C17" s="3">
        <v>0.11459163542067097</v>
      </c>
      <c r="D17" s="3">
        <v>0.28648009124091034</v>
      </c>
      <c r="E17" s="3">
        <v>-0.1039999999999992</v>
      </c>
      <c r="F17" s="3">
        <v>0.73659999999999781</v>
      </c>
      <c r="G17" s="3">
        <v>7.6200000000002877E-2</v>
      </c>
      <c r="H17" s="3">
        <v>-8.8900000000000007E-2</v>
      </c>
      <c r="I17" s="2" t="s">
        <v>8</v>
      </c>
    </row>
    <row r="18" spans="2:9" x14ac:dyDescent="0.15">
      <c r="B18" s="2" t="s">
        <v>22</v>
      </c>
      <c r="C18" s="3">
        <v>-0.85946892483581838</v>
      </c>
      <c r="D18" s="3">
        <v>0.11459163542067097</v>
      </c>
      <c r="E18" s="3">
        <v>-0.13100000000000023</v>
      </c>
      <c r="F18" s="3">
        <v>-2.5399999999997203E-2</v>
      </c>
      <c r="G18" s="3">
        <v>-0.3809999999999919</v>
      </c>
      <c r="H18" s="3">
        <v>-7.1120000000000003E-2</v>
      </c>
      <c r="I18" s="2" t="s">
        <v>8</v>
      </c>
    </row>
    <row r="19" spans="2:9" x14ac:dyDescent="0.15">
      <c r="B19" s="2" t="s">
        <v>23</v>
      </c>
      <c r="C19" s="3">
        <v>-0.22918372921171254</v>
      </c>
      <c r="D19" s="3">
        <v>-0.57296734485715439</v>
      </c>
      <c r="E19" s="3">
        <v>-0.1980000000000004</v>
      </c>
      <c r="F19" s="3">
        <v>0.48259999999998071</v>
      </c>
      <c r="G19" s="3">
        <v>-0.6604000000000062</v>
      </c>
      <c r="H19" s="3">
        <v>0.22097999999999998</v>
      </c>
      <c r="I19" s="2" t="s">
        <v>8</v>
      </c>
    </row>
    <row r="20" spans="2:9" x14ac:dyDescent="0.15">
      <c r="B20" s="2" t="s">
        <v>24</v>
      </c>
      <c r="C20" s="3">
        <v>-0.28648009124091034</v>
      </c>
      <c r="D20" s="3">
        <v>-0.40107373207252695</v>
      </c>
      <c r="E20" s="3">
        <v>-8.9000000000005741E-2</v>
      </c>
      <c r="F20" s="3">
        <v>0.60959999999997805</v>
      </c>
      <c r="G20" s="3">
        <v>-0.53339999999999765</v>
      </c>
      <c r="H20" s="3">
        <v>5.5879999999999999E-2</v>
      </c>
      <c r="I20" s="2" t="s">
        <v>8</v>
      </c>
    </row>
    <row r="21" spans="2:9" x14ac:dyDescent="0.15">
      <c r="B21" s="2" t="s">
        <v>25</v>
      </c>
      <c r="C21" s="3">
        <v>-0.22918372921171254</v>
      </c>
      <c r="D21" s="3">
        <v>-0.40107373207252695</v>
      </c>
      <c r="E21" s="3">
        <v>-0.10000000000000853</v>
      </c>
      <c r="F21" s="3">
        <v>0.25399999999999456</v>
      </c>
      <c r="G21" s="3">
        <v>-0.3301999999999975</v>
      </c>
      <c r="H21" s="3">
        <v>-0.89915999999999996</v>
      </c>
      <c r="I21" s="2" t="s">
        <v>8</v>
      </c>
    </row>
    <row r="22" spans="2:9" x14ac:dyDescent="0.15">
      <c r="B22" s="2" t="s">
        <v>26</v>
      </c>
      <c r="C22" s="3">
        <v>0.74486611507034006</v>
      </c>
      <c r="D22" s="3">
        <v>-0.11459163542067097</v>
      </c>
      <c r="E22" s="3">
        <v>0.12199999999999989</v>
      </c>
      <c r="F22" s="3">
        <v>0.35560000000000597</v>
      </c>
      <c r="G22" s="3">
        <v>-0.71119999999999495</v>
      </c>
      <c r="H22" s="3">
        <v>-0.40132000000000007</v>
      </c>
      <c r="I22" s="2" t="s">
        <v>8</v>
      </c>
    </row>
    <row r="23" spans="2:9" x14ac:dyDescent="0.15">
      <c r="B23" s="2" t="s">
        <v>27</v>
      </c>
      <c r="C23" s="3">
        <v>0.40107373207252695</v>
      </c>
      <c r="D23" s="3">
        <v>0.51566897730870676</v>
      </c>
      <c r="E23" s="3">
        <v>8.1999999999993634E-2</v>
      </c>
      <c r="F23" s="3">
        <v>-0.35560000000000597</v>
      </c>
      <c r="G23" s="3">
        <v>-0.15240000000000012</v>
      </c>
      <c r="H23" s="3">
        <v>-0.83057999999999998</v>
      </c>
      <c r="I23" s="2" t="s">
        <v>8</v>
      </c>
    </row>
    <row r="24" spans="2:9" x14ac:dyDescent="0.15">
      <c r="B24" s="2" t="s">
        <v>28</v>
      </c>
      <c r="C24" s="3">
        <v>0.22918372921171254</v>
      </c>
      <c r="D24" s="3">
        <v>-0.45837112548533043</v>
      </c>
      <c r="E24" s="3">
        <v>-0.14699999999999136</v>
      </c>
      <c r="F24" s="3">
        <v>-0.38100000000001444</v>
      </c>
      <c r="G24" s="3">
        <v>-0.45719999999999478</v>
      </c>
      <c r="H24" s="3">
        <v>-0.56388000000000005</v>
      </c>
      <c r="I24" s="2" t="s">
        <v>8</v>
      </c>
    </row>
    <row r="25" spans="2:9" x14ac:dyDescent="0.15">
      <c r="B25" s="2" t="s">
        <v>29</v>
      </c>
      <c r="C25" s="3">
        <v>0.74486611507034006</v>
      </c>
      <c r="D25" s="3">
        <v>0.28648009124091034</v>
      </c>
      <c r="E25" s="3">
        <v>-0.367999999999995</v>
      </c>
      <c r="F25" s="3">
        <v>-0.60960000000000047</v>
      </c>
      <c r="G25" s="3">
        <v>-0.58419999999999206</v>
      </c>
      <c r="H25" s="3">
        <v>-0.38862000000000002</v>
      </c>
      <c r="I25" s="2" t="s">
        <v>8</v>
      </c>
    </row>
    <row r="26" spans="2:9" x14ac:dyDescent="0.15">
      <c r="B26" s="2" t="s">
        <v>30</v>
      </c>
      <c r="C26" s="3">
        <v>0.68756585641085832</v>
      </c>
      <c r="D26" s="3">
        <v>0.28648009124091034</v>
      </c>
      <c r="E26" s="3">
        <v>0.3960000000000008</v>
      </c>
      <c r="F26" s="3">
        <v>-0.43179999999999757</v>
      </c>
      <c r="G26" s="3">
        <v>-0.83819999999998662</v>
      </c>
      <c r="H26" s="3">
        <v>1.6230599999999999</v>
      </c>
      <c r="I26" s="2" t="s">
        <v>8</v>
      </c>
    </row>
    <row r="27" spans="2:9" x14ac:dyDescent="0.15">
      <c r="B27" s="2" t="s">
        <v>31</v>
      </c>
      <c r="C27" s="3">
        <v>0</v>
      </c>
      <c r="D27" s="3">
        <v>0.63026628544977759</v>
      </c>
      <c r="E27" s="3">
        <v>0.11100000000000421</v>
      </c>
      <c r="F27" s="3">
        <v>-0.53340000000000054</v>
      </c>
      <c r="G27" s="3">
        <v>-0.25399999999999456</v>
      </c>
      <c r="H27" s="3">
        <v>0.17780000000000001</v>
      </c>
      <c r="I27" s="2" t="s">
        <v>8</v>
      </c>
    </row>
    <row r="28" spans="2:9" x14ac:dyDescent="0.15">
      <c r="B28" s="2" t="s">
        <v>32</v>
      </c>
      <c r="C28" s="3">
        <v>0.34377673975997053</v>
      </c>
      <c r="D28" s="3">
        <v>1.1459919983885873</v>
      </c>
      <c r="E28" s="3">
        <v>0.11000000000000654</v>
      </c>
      <c r="F28" s="3">
        <v>-0.53339999999999999</v>
      </c>
      <c r="G28" s="3">
        <v>0.30479999999998902</v>
      </c>
      <c r="H28" s="3">
        <v>1.1353800000000001</v>
      </c>
      <c r="I28" s="2" t="s">
        <v>8</v>
      </c>
    </row>
    <row r="29" spans="2:9" x14ac:dyDescent="0.15">
      <c r="B29" s="2" t="s">
        <v>33</v>
      </c>
      <c r="C29" s="3">
        <v>-0.11459163542067097</v>
      </c>
      <c r="D29" s="3">
        <v>0.97407517351896133</v>
      </c>
      <c r="E29" s="3">
        <v>-4.9999999999998934E-2</v>
      </c>
      <c r="F29" s="3">
        <v>-0.38100000000000317</v>
      </c>
      <c r="G29" s="3">
        <v>0.3301999999999975</v>
      </c>
      <c r="H29" s="3">
        <v>1.016</v>
      </c>
      <c r="I29" s="2" t="s">
        <v>8</v>
      </c>
    </row>
    <row r="30" spans="2:9" x14ac:dyDescent="0.15">
      <c r="B30" s="2" t="s">
        <v>34</v>
      </c>
      <c r="C30" s="3">
        <v>0.57296734485715439</v>
      </c>
      <c r="D30" s="3">
        <v>0.80216711876438729</v>
      </c>
      <c r="E30" s="3">
        <v>-0.15700000000000003</v>
      </c>
      <c r="F30" s="3">
        <v>-0.3301999999999975</v>
      </c>
      <c r="G30" s="3">
        <v>0.55880000000000607</v>
      </c>
      <c r="H30" s="3">
        <v>1.2877800000000001</v>
      </c>
      <c r="I30" s="2" t="s">
        <v>8</v>
      </c>
    </row>
    <row r="31" spans="2:9" x14ac:dyDescent="0.15">
      <c r="B31" s="2" t="s">
        <v>35</v>
      </c>
      <c r="C31" s="3">
        <v>0.74486611507034006</v>
      </c>
      <c r="D31" s="3">
        <v>0.68756585641085832</v>
      </c>
      <c r="E31" s="3">
        <v>0.12299999999999756</v>
      </c>
      <c r="F31" s="3">
        <v>-0.91439999999998955</v>
      </c>
      <c r="G31" s="3">
        <v>0.53339999999999765</v>
      </c>
      <c r="H31" s="3">
        <v>1.3335000000000001</v>
      </c>
      <c r="I31" s="2" t="s">
        <v>8</v>
      </c>
    </row>
    <row r="33" spans="2:9" x14ac:dyDescent="0.15">
      <c r="B33" s="2" t="s">
        <v>36</v>
      </c>
      <c r="C33" s="3">
        <f>AVERAGE(C7:C31)</f>
        <v>0.11688624255197165</v>
      </c>
      <c r="D33" s="3">
        <f t="shared" ref="D33:H33" si="0">AVERAGE(D7:D31)</f>
        <v>0.25898452369212327</v>
      </c>
      <c r="E33" s="3">
        <f t="shared" si="0"/>
        <v>-3.1519999999998445E-2</v>
      </c>
      <c r="F33" s="3">
        <f>AVERAGE(F7:F31)</f>
        <v>2.7431999999999231E-2</v>
      </c>
      <c r="G33" s="3">
        <f t="shared" si="0"/>
        <v>-4.7751999999997886E-2</v>
      </c>
      <c r="H33" s="3">
        <f t="shared" si="0"/>
        <v>-2.4180799999999971E-2</v>
      </c>
      <c r="I33" s="3" t="s">
        <v>8</v>
      </c>
    </row>
    <row r="34" spans="2:9" x14ac:dyDescent="0.15">
      <c r="B34" s="2" t="s">
        <v>37</v>
      </c>
      <c r="C34" s="3" cm="1">
        <f t="array" ref="C34">MAX(ABS(C7:C31))</f>
        <v>0.85946892483581838</v>
      </c>
      <c r="D34" s="3" cm="1">
        <f t="array" ref="D34">MAX(ABS(D7:D31))</f>
        <v>1.1459919983885873</v>
      </c>
      <c r="E34" s="3" cm="1">
        <f t="array" ref="E34">MAX(ABS(E7:E31))</f>
        <v>0.3960000000000008</v>
      </c>
      <c r="F34" s="3" cm="1">
        <f t="array" ref="F34">MAX(ABS(F7:F31))</f>
        <v>0.91439999999998955</v>
      </c>
      <c r="G34" s="3" cm="1">
        <f t="array" ref="G34">MAX(ABS(G7:G31))</f>
        <v>0.83819999999998662</v>
      </c>
      <c r="H34" s="3" cm="1">
        <f t="array" ref="H34">MAX(ABS(H7:H31))</f>
        <v>1.6230599999999999</v>
      </c>
      <c r="I34" s="3" t="s">
        <v>8</v>
      </c>
    </row>
    <row r="36" spans="2:9" x14ac:dyDescent="0.15">
      <c r="B36" s="11" t="s">
        <v>40</v>
      </c>
      <c r="C36" s="11"/>
      <c r="D36" s="11"/>
      <c r="E36" s="11"/>
      <c r="F36" s="11"/>
      <c r="G36" s="11"/>
      <c r="H36" s="11"/>
      <c r="I36" s="11"/>
    </row>
    <row r="37" spans="2:9" x14ac:dyDescent="0.15">
      <c r="B37" s="11"/>
      <c r="C37" s="11"/>
      <c r="D37" s="11"/>
      <c r="E37" s="11"/>
      <c r="F37" s="11"/>
      <c r="G37" s="11"/>
      <c r="H37" s="11"/>
      <c r="I37" s="11"/>
    </row>
    <row r="38" spans="2:9" x14ac:dyDescent="0.15">
      <c r="B38" s="11"/>
      <c r="C38" s="11"/>
      <c r="D38" s="11"/>
      <c r="E38" s="11"/>
      <c r="F38" s="11"/>
      <c r="G38" s="11"/>
      <c r="H38" s="11"/>
      <c r="I38" s="11"/>
    </row>
  </sheetData>
  <mergeCells count="5">
    <mergeCell ref="C6:I6"/>
    <mergeCell ref="B2:I2"/>
    <mergeCell ref="B3:I3"/>
    <mergeCell ref="K4:N4"/>
    <mergeCell ref="B36:I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FE25-10F9-C242-A07C-7255CD4F241D}">
  <dimension ref="B2:I42"/>
  <sheetViews>
    <sheetView showGridLines="0" workbookViewId="0">
      <selection activeCell="B7" sqref="B7"/>
    </sheetView>
  </sheetViews>
  <sheetFormatPr baseColWidth="10" defaultColWidth="9" defaultRowHeight="14" x14ac:dyDescent="0.15"/>
  <cols>
    <col min="5" max="5" width="12.19921875" bestFit="1" customWidth="1"/>
    <col min="6" max="6" width="21.3984375" customWidth="1"/>
    <col min="7" max="7" width="15.19921875" bestFit="1" customWidth="1"/>
    <col min="8" max="8" width="16.3984375" customWidth="1"/>
    <col min="9" max="9" width="12.3984375" bestFit="1" customWidth="1"/>
  </cols>
  <sheetData>
    <row r="2" spans="2:9" ht="20" x14ac:dyDescent="0.2">
      <c r="B2" s="6" t="s">
        <v>41</v>
      </c>
      <c r="C2" s="6"/>
      <c r="D2" s="6"/>
      <c r="E2" s="6"/>
      <c r="F2" s="6"/>
      <c r="G2" s="6"/>
      <c r="H2" s="6"/>
      <c r="I2" s="6"/>
    </row>
    <row r="3" spans="2:9" x14ac:dyDescent="0.15">
      <c r="B3" s="7" t="s">
        <v>1</v>
      </c>
      <c r="C3" s="8"/>
      <c r="D3" s="8"/>
      <c r="E3" s="8"/>
      <c r="F3" s="8"/>
      <c r="G3" s="8"/>
      <c r="H3" s="8"/>
      <c r="I3" s="9"/>
    </row>
    <row r="4" spans="2:9" x14ac:dyDescent="0.15">
      <c r="B4" s="1" t="s">
        <v>9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39</v>
      </c>
      <c r="I4" s="1" t="s">
        <v>7</v>
      </c>
    </row>
    <row r="5" spans="2:9" x14ac:dyDescent="0.15">
      <c r="B5" s="2" t="s">
        <v>10</v>
      </c>
      <c r="C5" s="2">
        <v>-0.45800000000000002</v>
      </c>
      <c r="D5" s="2">
        <v>0.80200000000000005</v>
      </c>
      <c r="E5" s="2">
        <v>-0.751</v>
      </c>
      <c r="F5" s="3">
        <v>8.9992200000000011</v>
      </c>
      <c r="G5" s="3">
        <v>-15.331440000000001</v>
      </c>
      <c r="H5" s="3">
        <v>19.839939999999999</v>
      </c>
      <c r="I5" s="3">
        <v>1.56</v>
      </c>
    </row>
    <row r="6" spans="2:9" x14ac:dyDescent="0.15">
      <c r="B6" s="2"/>
      <c r="C6" s="4" t="s">
        <v>0</v>
      </c>
      <c r="D6" s="5"/>
      <c r="E6" s="5"/>
      <c r="F6" s="5"/>
      <c r="G6" s="5"/>
      <c r="H6" s="5"/>
      <c r="I6" s="5"/>
    </row>
    <row r="7" spans="2:9" x14ac:dyDescent="0.15">
      <c r="B7" s="2" t="s">
        <v>11</v>
      </c>
      <c r="C7" s="2">
        <v>-0.17188759637130041</v>
      </c>
      <c r="D7" s="2">
        <v>5.729578906238611E-2</v>
      </c>
      <c r="E7" s="2">
        <v>6.4999999999999503E-2</v>
      </c>
      <c r="F7" s="2">
        <v>1.270000000000018</v>
      </c>
      <c r="G7" s="2">
        <v>-0.25400000000000023</v>
      </c>
      <c r="H7" s="2">
        <v>0</v>
      </c>
      <c r="I7" s="2" t="s">
        <v>8</v>
      </c>
    </row>
    <row r="8" spans="2:9" x14ac:dyDescent="0.15">
      <c r="B8" s="2" t="s">
        <v>12</v>
      </c>
      <c r="C8" s="2">
        <v>0.80216711876438729</v>
      </c>
      <c r="D8" s="2">
        <v>0</v>
      </c>
      <c r="E8" s="2">
        <v>-5.8999999999999275E-2</v>
      </c>
      <c r="F8" s="2">
        <v>0.35560000000000597</v>
      </c>
      <c r="G8" s="2">
        <v>-0.53339999999999765</v>
      </c>
      <c r="H8" s="2">
        <v>5.5879999999999999E-2</v>
      </c>
      <c r="I8" s="2" t="s">
        <v>8</v>
      </c>
    </row>
    <row r="9" spans="2:9" x14ac:dyDescent="0.15">
      <c r="B9" s="2" t="s">
        <v>13</v>
      </c>
      <c r="C9" s="2">
        <v>0.40107373207252695</v>
      </c>
      <c r="D9" s="2">
        <v>0.34377673975997053</v>
      </c>
      <c r="E9" s="2">
        <v>-5.7999999999992724E-2</v>
      </c>
      <c r="F9" s="2">
        <v>-5.0799999999994405E-2</v>
      </c>
      <c r="G9" s="2">
        <v>-1.1938000000000011</v>
      </c>
      <c r="H9" s="2">
        <v>-3.048E-2</v>
      </c>
      <c r="I9" s="2" t="s">
        <v>8</v>
      </c>
    </row>
    <row r="10" spans="2:9" x14ac:dyDescent="0.15">
      <c r="B10" s="2" t="s">
        <v>14</v>
      </c>
      <c r="C10" s="2">
        <v>0.34377673975997053</v>
      </c>
      <c r="D10" s="2">
        <v>0.22918372921171254</v>
      </c>
      <c r="E10" s="2">
        <v>-8.2999999999998408E-2</v>
      </c>
      <c r="F10" s="2">
        <v>-1.0922000000000036</v>
      </c>
      <c r="G10" s="2">
        <v>-1.5748000000000071</v>
      </c>
      <c r="H10" s="2">
        <v>-0.34798000000000001</v>
      </c>
      <c r="I10" s="2" t="s">
        <v>8</v>
      </c>
    </row>
    <row r="11" spans="2:9" x14ac:dyDescent="0.15">
      <c r="B11" s="2" t="s">
        <v>15</v>
      </c>
      <c r="C11" s="2">
        <v>0.22918372921171254</v>
      </c>
      <c r="D11" s="2">
        <v>-0.11459163542067097</v>
      </c>
      <c r="E11" s="2">
        <v>-0.12900000000000489</v>
      </c>
      <c r="F11" s="2">
        <v>-2.2605999999999882</v>
      </c>
      <c r="G11" s="2">
        <v>-1.2192000000000009</v>
      </c>
      <c r="H11" s="2">
        <v>-0.74675999999999998</v>
      </c>
      <c r="I11" s="2" t="s">
        <v>8</v>
      </c>
    </row>
    <row r="12" spans="2:9" x14ac:dyDescent="0.15">
      <c r="B12" s="2" t="s">
        <v>16</v>
      </c>
      <c r="C12" s="2">
        <v>-0.22918372921171254</v>
      </c>
      <c r="D12" s="2">
        <v>0.28648009124091034</v>
      </c>
      <c r="E12" s="2">
        <v>1.0000000000047748E-3</v>
      </c>
      <c r="F12" s="2">
        <v>-0.88899999999999235</v>
      </c>
      <c r="G12" s="2">
        <v>-5.0800000000005688E-2</v>
      </c>
      <c r="H12" s="2">
        <v>-5.5879999999999999E-2</v>
      </c>
      <c r="I12" s="2" t="s">
        <v>8</v>
      </c>
    </row>
    <row r="13" spans="2:9" x14ac:dyDescent="0.15">
      <c r="B13" s="2" t="s">
        <v>17</v>
      </c>
      <c r="C13" s="2">
        <v>-0.22918372921171254</v>
      </c>
      <c r="D13" s="2">
        <v>0.28648009124091034</v>
      </c>
      <c r="E13" s="2">
        <v>6.4000000000007162E-2</v>
      </c>
      <c r="F13" s="2">
        <v>-0.40640000000000037</v>
      </c>
      <c r="G13" s="2">
        <v>-0.71120000000001193</v>
      </c>
      <c r="H13" s="2">
        <v>-0.36830000000000002</v>
      </c>
      <c r="I13" s="2" t="s">
        <v>8</v>
      </c>
    </row>
    <row r="14" spans="2:9" x14ac:dyDescent="0.15">
      <c r="B14" s="2" t="s">
        <v>18</v>
      </c>
      <c r="C14" s="2">
        <v>0.17188759637130041</v>
      </c>
      <c r="D14" s="2">
        <v>0.45837112548533043</v>
      </c>
      <c r="E14" s="2">
        <v>5.6000000000000938E-2</v>
      </c>
      <c r="F14" s="2">
        <v>-0.99059999999999815</v>
      </c>
      <c r="G14" s="2">
        <v>-0.43179999999998631</v>
      </c>
      <c r="H14" s="2">
        <v>-1.0439399999999999</v>
      </c>
      <c r="I14" s="2" t="s">
        <v>8</v>
      </c>
    </row>
    <row r="15" spans="2:9" x14ac:dyDescent="0.15">
      <c r="B15" s="2" t="s">
        <v>19</v>
      </c>
      <c r="C15" s="2">
        <v>-0.45837112548533043</v>
      </c>
      <c r="D15" s="2">
        <v>0.34377673975997053</v>
      </c>
      <c r="E15" s="2">
        <v>0.16099999999999781</v>
      </c>
      <c r="F15" s="2">
        <v>-1.5240000000000014</v>
      </c>
      <c r="G15" s="2">
        <v>2.108200000000005</v>
      </c>
      <c r="H15" s="2">
        <v>-1.3233400000000002</v>
      </c>
      <c r="I15" s="2" t="s">
        <v>8</v>
      </c>
    </row>
    <row r="16" spans="2:9" x14ac:dyDescent="0.15">
      <c r="B16" s="2" t="s">
        <v>20</v>
      </c>
      <c r="C16" s="2">
        <v>-0.63026628544977759</v>
      </c>
      <c r="D16" s="2">
        <v>0.40107373207252695</v>
      </c>
      <c r="E16" s="2">
        <v>-0.17300000000000004</v>
      </c>
      <c r="F16" s="2">
        <v>-1.8033999999999932</v>
      </c>
      <c r="G16" s="2">
        <v>2.0066000000000157</v>
      </c>
      <c r="H16" s="2">
        <v>0.33782000000000001</v>
      </c>
      <c r="I16" s="2" t="s">
        <v>8</v>
      </c>
    </row>
    <row r="17" spans="2:9" x14ac:dyDescent="0.15">
      <c r="B17" s="2" t="s">
        <v>21</v>
      </c>
      <c r="C17" s="2">
        <v>0.17188759637130041</v>
      </c>
      <c r="D17" s="2">
        <v>0.28648009124091034</v>
      </c>
      <c r="E17" s="2">
        <v>-0.17800000000000082</v>
      </c>
      <c r="F17" s="2">
        <v>-0.30480000000000024</v>
      </c>
      <c r="G17" s="2">
        <v>0.76200000000000634</v>
      </c>
      <c r="H17" s="2">
        <v>-9.1440000000000007E-2</v>
      </c>
      <c r="I17" s="2" t="s">
        <v>8</v>
      </c>
    </row>
    <row r="18" spans="2:9" x14ac:dyDescent="0.15">
      <c r="B18" s="2" t="s">
        <v>22</v>
      </c>
      <c r="C18" s="2">
        <v>-1.2606088523503327</v>
      </c>
      <c r="D18" s="2">
        <v>0.34377673975997053</v>
      </c>
      <c r="E18" s="2">
        <v>-0.17999999999999972</v>
      </c>
      <c r="F18" s="2">
        <v>-0.96519999999999517</v>
      </c>
      <c r="G18" s="2">
        <v>0.25399999999999456</v>
      </c>
      <c r="H18" s="2">
        <v>-0.27432000000000001</v>
      </c>
      <c r="I18" s="2" t="s">
        <v>8</v>
      </c>
    </row>
    <row r="19" spans="2:9" x14ac:dyDescent="0.15">
      <c r="B19" s="2" t="s">
        <v>23</v>
      </c>
      <c r="C19" s="2">
        <v>-1.0313797308545529</v>
      </c>
      <c r="D19" s="2">
        <v>0</v>
      </c>
      <c r="E19" s="2">
        <v>-0.16400000000000148</v>
      </c>
      <c r="F19" s="2">
        <v>-0.45720000000001737</v>
      </c>
      <c r="G19" s="2">
        <v>1.0413999999999981</v>
      </c>
      <c r="H19" s="2">
        <v>1.09728</v>
      </c>
      <c r="I19" s="2" t="s">
        <v>8</v>
      </c>
    </row>
    <row r="20" spans="2:9" x14ac:dyDescent="0.15">
      <c r="B20" s="2" t="s">
        <v>24</v>
      </c>
      <c r="C20" s="2">
        <v>0.80216711876438729</v>
      </c>
      <c r="D20" s="2">
        <v>-1.8337780000466426</v>
      </c>
      <c r="E20" s="2">
        <v>-2.0000000000024443E-3</v>
      </c>
      <c r="F20" s="2">
        <v>0.71120000000001193</v>
      </c>
      <c r="G20" s="2">
        <v>1.8288000000000015</v>
      </c>
      <c r="H20" s="2">
        <v>0.35052</v>
      </c>
      <c r="I20" s="2" t="s">
        <v>8</v>
      </c>
    </row>
    <row r="21" spans="2:9" x14ac:dyDescent="0.15">
      <c r="B21" s="2" t="s">
        <v>25</v>
      </c>
      <c r="C21" s="2">
        <v>0.85946892483581838</v>
      </c>
      <c r="D21" s="2">
        <v>-1.7764537710952661</v>
      </c>
      <c r="E21" s="2">
        <v>3.6999999999991928E-2</v>
      </c>
      <c r="F21" s="2">
        <v>1.7018000000000044</v>
      </c>
      <c r="G21" s="2">
        <v>2.3367999999999909</v>
      </c>
      <c r="H21" s="2">
        <v>-5.30098</v>
      </c>
      <c r="I21" s="2" t="s">
        <v>8</v>
      </c>
    </row>
    <row r="22" spans="2:9" x14ac:dyDescent="0.15">
      <c r="B22" s="2" t="s">
        <v>26</v>
      </c>
      <c r="C22" s="2">
        <v>0.57296734485715439</v>
      </c>
      <c r="D22" s="2">
        <v>-5.729578906238611E-2</v>
      </c>
      <c r="E22" s="2">
        <v>0.13099999999999312</v>
      </c>
      <c r="F22" s="2">
        <v>0.53339999999999765</v>
      </c>
      <c r="G22" s="2">
        <v>0.48260000000000325</v>
      </c>
      <c r="H22" s="2">
        <v>-0.34036</v>
      </c>
      <c r="I22" s="2" t="s">
        <v>8</v>
      </c>
    </row>
    <row r="23" spans="2:9" x14ac:dyDescent="0.15">
      <c r="B23" s="2" t="s">
        <v>27</v>
      </c>
      <c r="C23" s="2">
        <v>1.3179191427593087</v>
      </c>
      <c r="D23" s="2">
        <v>-0.22918372921171254</v>
      </c>
      <c r="E23" s="2">
        <v>9.9999999999994316E-2</v>
      </c>
      <c r="F23" s="2">
        <v>5.0799999999994405E-2</v>
      </c>
      <c r="G23" s="2">
        <v>0.83819999999999795</v>
      </c>
      <c r="H23" s="2">
        <v>-1.8135600000000001</v>
      </c>
      <c r="I23" s="2" t="s">
        <v>8</v>
      </c>
    </row>
    <row r="24" spans="2:9" x14ac:dyDescent="0.15">
      <c r="B24" s="2" t="s">
        <v>28</v>
      </c>
      <c r="C24" s="2">
        <v>0.80216711876438729</v>
      </c>
      <c r="D24" s="2">
        <v>-1.3179191427593087</v>
      </c>
      <c r="E24" s="2">
        <v>-0.13700000000000045</v>
      </c>
      <c r="F24" s="2">
        <v>0.43179999999998631</v>
      </c>
      <c r="G24" s="2">
        <v>0.73659999999999781</v>
      </c>
      <c r="H24" s="2">
        <v>-3.0200600000000004</v>
      </c>
      <c r="I24" s="2" t="s">
        <v>8</v>
      </c>
    </row>
    <row r="25" spans="2:9" x14ac:dyDescent="0.15">
      <c r="B25" s="2" t="s">
        <v>29</v>
      </c>
      <c r="C25" s="2">
        <v>1.2032998233651446</v>
      </c>
      <c r="D25" s="2">
        <v>-0.91677159063474134</v>
      </c>
      <c r="E25" s="2">
        <v>-0.36599999999999966</v>
      </c>
      <c r="F25" s="2">
        <v>1.9304000000000019</v>
      </c>
      <c r="G25" s="2">
        <v>-2.5400000000031044E-2</v>
      </c>
      <c r="H25" s="2">
        <v>-4.0487600000000006</v>
      </c>
      <c r="I25" s="2" t="s">
        <v>8</v>
      </c>
    </row>
    <row r="26" spans="2:9" x14ac:dyDescent="0.15">
      <c r="B26" s="2" t="s">
        <v>30</v>
      </c>
      <c r="C26" s="2">
        <v>0.97407517351896133</v>
      </c>
      <c r="D26" s="2">
        <v>-1.2032998233651446</v>
      </c>
      <c r="E26" s="2">
        <v>0.3279999999999994</v>
      </c>
      <c r="F26" s="2">
        <v>2.7177999999999942</v>
      </c>
      <c r="G26" s="2">
        <v>-1.3969999999999927</v>
      </c>
      <c r="H26" s="2">
        <v>-3.1089600000000002</v>
      </c>
      <c r="I26" s="2" t="s">
        <v>8</v>
      </c>
    </row>
    <row r="27" spans="2:9" x14ac:dyDescent="0.15">
      <c r="B27" s="2" t="s">
        <v>31</v>
      </c>
      <c r="C27" s="2">
        <v>5.729578906238611E-2</v>
      </c>
      <c r="D27" s="2">
        <v>-0.45837112548533043</v>
      </c>
      <c r="E27" s="2">
        <v>-1.9999999999953388E-3</v>
      </c>
      <c r="F27" s="2">
        <v>0.63499999999999979</v>
      </c>
      <c r="G27" s="2">
        <v>-0.48260000000000325</v>
      </c>
      <c r="H27" s="2">
        <v>-0.11938</v>
      </c>
      <c r="I27" s="2" t="s">
        <v>8</v>
      </c>
    </row>
    <row r="28" spans="2:9" x14ac:dyDescent="0.15">
      <c r="B28" s="2" t="s">
        <v>32</v>
      </c>
      <c r="C28" s="2">
        <v>0.40107373207252695</v>
      </c>
      <c r="D28" s="2">
        <v>5.729578906238611E-2</v>
      </c>
      <c r="E28" s="2">
        <v>3.6000000000001364E-2</v>
      </c>
      <c r="F28" s="2">
        <v>0.81280000000000008</v>
      </c>
      <c r="G28" s="2">
        <v>0.22859999999998612</v>
      </c>
      <c r="H28" s="2">
        <v>-0.16255999999999998</v>
      </c>
      <c r="I28" s="2" t="s">
        <v>8</v>
      </c>
    </row>
    <row r="29" spans="2:9" x14ac:dyDescent="0.15">
      <c r="B29" s="2" t="s">
        <v>33</v>
      </c>
      <c r="C29" s="2">
        <v>-5.729578906238611E-2</v>
      </c>
      <c r="D29" s="2">
        <v>0</v>
      </c>
      <c r="E29" s="2">
        <v>-5.8999999999999275E-2</v>
      </c>
      <c r="F29" s="2">
        <v>1.1429999999999982</v>
      </c>
      <c r="G29" s="2">
        <v>-0.58419999999999206</v>
      </c>
      <c r="H29" s="2">
        <v>-0.15239999999999998</v>
      </c>
      <c r="I29" s="2" t="s">
        <v>8</v>
      </c>
    </row>
    <row r="30" spans="2:9" x14ac:dyDescent="0.15">
      <c r="B30" s="2" t="s">
        <v>34</v>
      </c>
      <c r="C30" s="2">
        <v>0</v>
      </c>
      <c r="D30" s="2">
        <v>0</v>
      </c>
      <c r="E30" s="2">
        <v>-0.15499999999999936</v>
      </c>
      <c r="F30" s="2">
        <v>0.93979999999997543</v>
      </c>
      <c r="G30" s="2">
        <v>-1.6763999999999959</v>
      </c>
      <c r="H30" s="2">
        <v>-0.26416000000000001</v>
      </c>
      <c r="I30" s="2" t="s">
        <v>8</v>
      </c>
    </row>
    <row r="31" spans="2:9" x14ac:dyDescent="0.15">
      <c r="B31" s="2" t="s">
        <v>35</v>
      </c>
      <c r="C31" s="2">
        <v>0.11459163542067097</v>
      </c>
      <c r="D31" s="2">
        <v>-0.11459163542067097</v>
      </c>
      <c r="E31" s="2">
        <v>4.0999999999996817E-2</v>
      </c>
      <c r="F31" s="2">
        <v>-0.50799999999998913</v>
      </c>
      <c r="G31" s="2">
        <v>-2.6924000000000023</v>
      </c>
      <c r="H31" s="2">
        <v>6.8580000000000002E-2</v>
      </c>
      <c r="I31" s="2" t="s">
        <v>8</v>
      </c>
    </row>
    <row r="33" spans="2:9" x14ac:dyDescent="0.15">
      <c r="B33" s="2" t="s">
        <v>36</v>
      </c>
      <c r="C33" s="3">
        <f t="shared" ref="C33:H33" si="0">AVERAGE(C7:C31)</f>
        <v>0.20627301911899351</v>
      </c>
      <c r="D33" s="3">
        <f t="shared" si="0"/>
        <v>-0.19713062338419557</v>
      </c>
      <c r="E33" s="3">
        <f t="shared" si="0"/>
        <v>-2.9000000000000269E-2</v>
      </c>
      <c r="F33" s="3">
        <f t="shared" si="0"/>
        <v>7.9248000000000554E-2</v>
      </c>
      <c r="G33" s="3">
        <f t="shared" si="0"/>
        <v>-8.1280000000012904E-3</v>
      </c>
      <c r="H33" s="3">
        <f t="shared" si="0"/>
        <v>-0.82814160000000003</v>
      </c>
      <c r="I33" s="3" t="s">
        <v>8</v>
      </c>
    </row>
    <row r="34" spans="2:9" x14ac:dyDescent="0.15">
      <c r="B34" s="2" t="s">
        <v>37</v>
      </c>
      <c r="C34" s="3" cm="1">
        <f t="array" ref="C34">MAX(ABS(C7:C31))</f>
        <v>1.3179191427593087</v>
      </c>
      <c r="D34" s="3" cm="1">
        <f t="array" ref="D34">MAX(ABS(D7:D31))</f>
        <v>1.8337780000466426</v>
      </c>
      <c r="E34" s="3" cm="1">
        <f t="array" ref="E34">MAX(ABS(E7:E31))</f>
        <v>0.36599999999999966</v>
      </c>
      <c r="F34" s="3" cm="1">
        <f t="array" ref="F34">MAX(ABS(F7:F31))</f>
        <v>2.7177999999999942</v>
      </c>
      <c r="G34" s="3" cm="1">
        <f t="array" ref="G34">MAX(ABS(G7:G31))</f>
        <v>2.6924000000000023</v>
      </c>
      <c r="H34" s="3" cm="1">
        <f t="array" ref="H34">MAX(ABS(H7:H31))</f>
        <v>5.30098</v>
      </c>
      <c r="I34" s="3" t="s">
        <v>8</v>
      </c>
    </row>
    <row r="36" spans="2:9" x14ac:dyDescent="0.15">
      <c r="B36" s="11" t="s">
        <v>40</v>
      </c>
      <c r="C36" s="11"/>
      <c r="D36" s="11"/>
      <c r="E36" s="11"/>
      <c r="F36" s="11"/>
      <c r="G36" s="11"/>
      <c r="H36" s="11"/>
      <c r="I36" s="11"/>
    </row>
    <row r="37" spans="2:9" x14ac:dyDescent="0.15">
      <c r="B37" s="11"/>
      <c r="C37" s="11"/>
      <c r="D37" s="11"/>
      <c r="E37" s="11"/>
      <c r="F37" s="11"/>
      <c r="G37" s="11"/>
      <c r="H37" s="11"/>
      <c r="I37" s="11"/>
    </row>
    <row r="38" spans="2:9" x14ac:dyDescent="0.15">
      <c r="B38" s="11"/>
      <c r="C38" s="11"/>
      <c r="D38" s="11"/>
      <c r="E38" s="11"/>
      <c r="F38" s="11"/>
      <c r="G38" s="11"/>
      <c r="H38" s="11"/>
      <c r="I38" s="11"/>
    </row>
    <row r="40" spans="2:9" x14ac:dyDescent="0.15">
      <c r="E40" t="s">
        <v>42</v>
      </c>
    </row>
    <row r="41" spans="2:9" x14ac:dyDescent="0.15">
      <c r="E41" t="s">
        <v>43</v>
      </c>
    </row>
    <row r="42" spans="2:9" x14ac:dyDescent="0.15">
      <c r="E42" t="s">
        <v>44</v>
      </c>
    </row>
  </sheetData>
  <mergeCells count="4">
    <mergeCell ref="C6:I6"/>
    <mergeCell ref="B2:I2"/>
    <mergeCell ref="B3:I3"/>
    <mergeCell ref="B36:I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7D85-E666-A941-BE62-A44E26D5351C}">
  <dimension ref="B2:I38"/>
  <sheetViews>
    <sheetView showGridLines="0" zoomScale="131" workbookViewId="0">
      <selection activeCell="K5" sqref="K5:N5"/>
    </sheetView>
  </sheetViews>
  <sheetFormatPr baseColWidth="10" defaultColWidth="9" defaultRowHeight="14" x14ac:dyDescent="0.15"/>
  <cols>
    <col min="5" max="5" width="12.19921875" bestFit="1" customWidth="1"/>
    <col min="6" max="6" width="21.3984375" customWidth="1"/>
    <col min="7" max="7" width="15.19921875" bestFit="1" customWidth="1"/>
    <col min="8" max="8" width="16.3984375" customWidth="1"/>
    <col min="9" max="9" width="12.3984375" bestFit="1" customWidth="1"/>
  </cols>
  <sheetData>
    <row r="2" spans="2:9" ht="20" x14ac:dyDescent="0.2">
      <c r="B2" s="6" t="s">
        <v>45</v>
      </c>
      <c r="C2" s="6"/>
      <c r="D2" s="6"/>
      <c r="E2" s="6"/>
      <c r="F2" s="6"/>
      <c r="G2" s="6"/>
      <c r="H2" s="6"/>
      <c r="I2" s="6"/>
    </row>
    <row r="3" spans="2:9" x14ac:dyDescent="0.15">
      <c r="B3" s="7" t="s">
        <v>1</v>
      </c>
      <c r="C3" s="8"/>
      <c r="D3" s="8"/>
      <c r="E3" s="8"/>
      <c r="F3" s="8"/>
      <c r="G3" s="8"/>
      <c r="H3" s="8"/>
      <c r="I3" s="9"/>
    </row>
    <row r="4" spans="2:9" x14ac:dyDescent="0.15">
      <c r="B4" s="1" t="s">
        <v>9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39</v>
      </c>
      <c r="I4" s="1" t="s">
        <v>7</v>
      </c>
    </row>
    <row r="5" spans="2:9" x14ac:dyDescent="0.15">
      <c r="B5" s="2" t="s">
        <v>10</v>
      </c>
      <c r="C5" s="2">
        <v>-0.40100000000000002</v>
      </c>
      <c r="D5" s="2">
        <v>0.51600000000000001</v>
      </c>
      <c r="E5" s="2">
        <v>-0.39600000000000002</v>
      </c>
      <c r="F5" s="3">
        <v>-2.3088599999999997</v>
      </c>
      <c r="G5" s="3">
        <v>10.71372</v>
      </c>
      <c r="H5" s="3">
        <v>17.322800000000001</v>
      </c>
      <c r="I5" s="3">
        <v>1.7602200000000001</v>
      </c>
    </row>
    <row r="6" spans="2:9" x14ac:dyDescent="0.15">
      <c r="B6" s="2"/>
      <c r="C6" s="4" t="s">
        <v>0</v>
      </c>
      <c r="D6" s="5"/>
      <c r="E6" s="5"/>
      <c r="F6" s="5"/>
      <c r="G6" s="5"/>
      <c r="H6" s="5"/>
      <c r="I6" s="5"/>
    </row>
    <row r="7" spans="2:9" x14ac:dyDescent="0.15">
      <c r="B7" s="2" t="s">
        <v>11</v>
      </c>
      <c r="C7" s="2">
        <v>0</v>
      </c>
      <c r="D7" s="2">
        <v>0.11459163542067097</v>
      </c>
      <c r="E7" s="2">
        <v>-5.400000000000027E-2</v>
      </c>
      <c r="F7" s="2">
        <v>-0.17779999999999169</v>
      </c>
      <c r="G7" s="2">
        <v>-0.48259999999999759</v>
      </c>
      <c r="H7" s="2">
        <v>-6.8580000000000002E-2</v>
      </c>
      <c r="I7" s="2" t="s">
        <v>8</v>
      </c>
    </row>
    <row r="8" spans="2:9" x14ac:dyDescent="0.15">
      <c r="B8" s="2" t="s">
        <v>12</v>
      </c>
      <c r="C8" s="2">
        <v>1.1459919983885873</v>
      </c>
      <c r="D8" s="2">
        <v>-0.34377673975997053</v>
      </c>
      <c r="E8" s="2">
        <v>-0.14199999999999946</v>
      </c>
      <c r="F8" s="2">
        <v>0.3301999999999975</v>
      </c>
      <c r="G8" s="2">
        <v>-0.40640000000000037</v>
      </c>
      <c r="H8" s="2">
        <v>9.6520000000000009E-2</v>
      </c>
      <c r="I8" s="2" t="s">
        <v>8</v>
      </c>
    </row>
    <row r="9" spans="2:9" x14ac:dyDescent="0.15">
      <c r="B9" s="2" t="s">
        <v>13</v>
      </c>
      <c r="C9" s="2">
        <v>0.74486611507034006</v>
      </c>
      <c r="D9" s="2">
        <v>0.11459163542067097</v>
      </c>
      <c r="E9" s="2">
        <v>-0.15299999999999159</v>
      </c>
      <c r="F9" s="2">
        <v>2.5400000000008485E-2</v>
      </c>
      <c r="G9" s="2">
        <v>-0.99060000000000104</v>
      </c>
      <c r="H9" s="2">
        <v>0.65278000000000003</v>
      </c>
      <c r="I9" s="2" t="s">
        <v>8</v>
      </c>
    </row>
    <row r="10" spans="2:9" x14ac:dyDescent="0.15">
      <c r="B10" s="2" t="s">
        <v>14</v>
      </c>
      <c r="C10" s="2">
        <v>0.51566897730870676</v>
      </c>
      <c r="D10" s="2">
        <v>-0.80216711876438729</v>
      </c>
      <c r="E10" s="2">
        <v>-0.16400000000000148</v>
      </c>
      <c r="F10" s="2">
        <v>-0.73659999999999781</v>
      </c>
      <c r="G10" s="2">
        <v>-1.2699999999999956</v>
      </c>
      <c r="H10" s="2">
        <v>1.0794999999999999</v>
      </c>
      <c r="I10" s="2" t="s">
        <v>8</v>
      </c>
    </row>
    <row r="11" spans="2:9" x14ac:dyDescent="0.15">
      <c r="B11" s="2" t="s">
        <v>15</v>
      </c>
      <c r="C11" s="2">
        <v>0.34377673975997053</v>
      </c>
      <c r="D11" s="2">
        <v>-1.1459919983885873</v>
      </c>
      <c r="E11" s="2">
        <v>-0.20100000000000762</v>
      </c>
      <c r="F11" s="2">
        <v>-1.6256000000000015</v>
      </c>
      <c r="G11" s="2">
        <v>-0.96519999999996142</v>
      </c>
      <c r="H11" s="2">
        <v>3.14452</v>
      </c>
      <c r="I11" s="2" t="s">
        <v>8</v>
      </c>
    </row>
    <row r="12" spans="2:9" x14ac:dyDescent="0.15">
      <c r="B12" s="2" t="s">
        <v>16</v>
      </c>
      <c r="C12" s="2">
        <v>-0.28648009124091034</v>
      </c>
      <c r="D12" s="2">
        <v>0.28648009124091034</v>
      </c>
      <c r="E12" s="2">
        <v>-8.2999999999998408E-2</v>
      </c>
      <c r="F12" s="2">
        <v>-0.63499999999999779</v>
      </c>
      <c r="G12" s="2">
        <v>5.0799999999994405E-2</v>
      </c>
      <c r="H12" s="2">
        <v>-0.13462000000000002</v>
      </c>
      <c r="I12" s="2" t="s">
        <v>8</v>
      </c>
    </row>
    <row r="13" spans="2:9" x14ac:dyDescent="0.15">
      <c r="B13" s="2" t="s">
        <v>17</v>
      </c>
      <c r="C13" s="2">
        <v>-0.28648009124091034</v>
      </c>
      <c r="D13" s="2">
        <v>-1.0886853200163815</v>
      </c>
      <c r="E13" s="2">
        <v>-6.9999999999907914E-3</v>
      </c>
      <c r="F13" s="2">
        <v>-0.17780000000000298</v>
      </c>
      <c r="G13" s="2">
        <v>-0.66039999999999499</v>
      </c>
      <c r="H13" s="2">
        <v>-8.1279999999999991E-2</v>
      </c>
      <c r="I13" s="2" t="s">
        <v>8</v>
      </c>
    </row>
    <row r="14" spans="2:9" x14ac:dyDescent="0.15">
      <c r="B14" s="2" t="s">
        <v>18</v>
      </c>
      <c r="C14" s="2">
        <v>0.17188759637130041</v>
      </c>
      <c r="D14" s="2">
        <v>-0.85946892483581838</v>
      </c>
      <c r="E14" s="2">
        <v>0.16099999999999781</v>
      </c>
      <c r="F14" s="2">
        <v>-0.78739999999999788</v>
      </c>
      <c r="G14" s="2">
        <v>-0.3301999999999975</v>
      </c>
      <c r="H14" s="2">
        <v>1.19126</v>
      </c>
      <c r="I14" s="2" t="s">
        <v>8</v>
      </c>
    </row>
    <row r="15" spans="2:9" x14ac:dyDescent="0.15">
      <c r="B15" s="2" t="s">
        <v>19</v>
      </c>
      <c r="C15" s="2">
        <v>-0.57296734485715439</v>
      </c>
      <c r="D15" s="2">
        <v>-0.97407517351896133</v>
      </c>
      <c r="E15" s="2">
        <v>0.25900000000000034</v>
      </c>
      <c r="F15" s="2">
        <v>-1.2445999999999984</v>
      </c>
      <c r="G15" s="2">
        <v>0.3301999999999975</v>
      </c>
      <c r="H15" s="2">
        <v>1.7703800000000001</v>
      </c>
      <c r="I15" s="2" t="s">
        <v>8</v>
      </c>
    </row>
    <row r="16" spans="2:9" x14ac:dyDescent="0.15">
      <c r="B16" s="2" t="s">
        <v>20</v>
      </c>
      <c r="C16" s="2">
        <v>-0.45837112548533043</v>
      </c>
      <c r="D16" s="2">
        <v>-0.91677159063474134</v>
      </c>
      <c r="E16" s="2">
        <v>-0.26399999999999935</v>
      </c>
      <c r="F16" s="2">
        <v>-1.270000000000018</v>
      </c>
      <c r="G16" s="2">
        <v>1.4478000000000097</v>
      </c>
      <c r="H16" s="2">
        <v>2.79908</v>
      </c>
      <c r="I16" s="2" t="s">
        <v>8</v>
      </c>
    </row>
    <row r="17" spans="2:9" x14ac:dyDescent="0.15">
      <c r="B17" s="2" t="s">
        <v>21</v>
      </c>
      <c r="C17" s="2">
        <v>0.11459163542067097</v>
      </c>
      <c r="D17" s="2">
        <v>0.22918372921171254</v>
      </c>
      <c r="E17" s="2">
        <v>-8.8999999999998636E-2</v>
      </c>
      <c r="F17" s="2">
        <v>-7.6200000000002877E-2</v>
      </c>
      <c r="G17" s="2">
        <v>0.53339999999999765</v>
      </c>
      <c r="H17" s="2">
        <v>-5.0799999999999994E-3</v>
      </c>
      <c r="I17" s="2" t="s">
        <v>8</v>
      </c>
    </row>
    <row r="18" spans="2:9" x14ac:dyDescent="0.15">
      <c r="B18" s="2" t="s">
        <v>22</v>
      </c>
      <c r="C18" s="2">
        <v>-1.0886853200163815</v>
      </c>
      <c r="D18" s="2">
        <v>-5.729578906238611E-2</v>
      </c>
      <c r="E18" s="2">
        <v>-0.10800000000000054</v>
      </c>
      <c r="F18" s="2">
        <v>-0.81280000000000074</v>
      </c>
      <c r="G18" s="2">
        <v>2.5400000000008485E-2</v>
      </c>
      <c r="H18" s="2">
        <v>0.34036</v>
      </c>
      <c r="I18" s="2" t="s">
        <v>8</v>
      </c>
    </row>
    <row r="19" spans="2:9" x14ac:dyDescent="0.15">
      <c r="B19" s="2" t="s">
        <v>23</v>
      </c>
      <c r="C19" s="2">
        <v>-0.74486611507034006</v>
      </c>
      <c r="D19" s="2">
        <v>-0.57296734485715439</v>
      </c>
      <c r="E19" s="2">
        <v>-0.21400000000000574</v>
      </c>
      <c r="F19" s="2">
        <v>-0.27940000000000303</v>
      </c>
      <c r="G19" s="2">
        <v>0.50800000000000045</v>
      </c>
      <c r="H19" s="2">
        <v>1.0363200000000001</v>
      </c>
      <c r="I19" s="2" t="s">
        <v>8</v>
      </c>
    </row>
    <row r="20" spans="2:9" x14ac:dyDescent="0.15">
      <c r="B20" s="2" t="s">
        <v>24</v>
      </c>
      <c r="C20" s="2">
        <v>1.0313797308545529</v>
      </c>
      <c r="D20" s="2">
        <v>-2.4071307900294814</v>
      </c>
      <c r="E20" s="2">
        <v>-0.10500000000000398</v>
      </c>
      <c r="F20" s="2">
        <v>0.7619999999999838</v>
      </c>
      <c r="G20" s="2">
        <v>1.295400000000001</v>
      </c>
      <c r="H20" s="2">
        <v>-0.33782000000000001</v>
      </c>
      <c r="I20" s="2" t="s">
        <v>8</v>
      </c>
    </row>
    <row r="21" spans="2:9" x14ac:dyDescent="0.15">
      <c r="B21" s="2" t="s">
        <v>25</v>
      </c>
      <c r="C21" s="2">
        <v>1.0886853200163815</v>
      </c>
      <c r="D21" s="2">
        <v>-2.3497856054604229</v>
      </c>
      <c r="E21" s="2">
        <v>-0.11100000000000421</v>
      </c>
      <c r="F21" s="2">
        <v>1.6002000000000154</v>
      </c>
      <c r="G21" s="2">
        <v>1.7271999999999903</v>
      </c>
      <c r="H21" s="2">
        <v>-7.7774799999999997</v>
      </c>
      <c r="I21" s="2" t="s">
        <v>8</v>
      </c>
    </row>
    <row r="22" spans="2:9" x14ac:dyDescent="0.15">
      <c r="B22" s="2" t="s">
        <v>26</v>
      </c>
      <c r="C22" s="2">
        <v>0.45837112548533043</v>
      </c>
      <c r="D22" s="2">
        <v>-0.22918372921171254</v>
      </c>
      <c r="E22" s="2">
        <v>5.7999999999999829E-2</v>
      </c>
      <c r="F22" s="2">
        <v>0.50800000000001166</v>
      </c>
      <c r="G22" s="2">
        <v>0.22860000000000302</v>
      </c>
      <c r="H22" s="2">
        <v>-0.26162000000000002</v>
      </c>
      <c r="I22" s="2" t="s">
        <v>8</v>
      </c>
    </row>
    <row r="23" spans="2:9" x14ac:dyDescent="0.15">
      <c r="B23" s="2" t="s">
        <v>27</v>
      </c>
      <c r="C23" s="2">
        <v>1.7191313208778098</v>
      </c>
      <c r="D23" s="2">
        <v>-1.2032998233651446</v>
      </c>
      <c r="E23" s="2">
        <v>4.399999999999693E-2</v>
      </c>
      <c r="F23" s="2">
        <v>0.10160000000001138</v>
      </c>
      <c r="G23" s="2">
        <v>0.43179999999999757</v>
      </c>
      <c r="H23" s="2">
        <v>-1.8669</v>
      </c>
      <c r="I23" s="2" t="s">
        <v>8</v>
      </c>
    </row>
    <row r="24" spans="2:9" x14ac:dyDescent="0.15">
      <c r="B24" s="2" t="s">
        <v>28</v>
      </c>
      <c r="C24" s="2">
        <v>1.6044915265155861</v>
      </c>
      <c r="D24" s="2">
        <v>-2.0057619349098217</v>
      </c>
      <c r="E24" s="2">
        <v>-0.13499999999999091</v>
      </c>
      <c r="F24" s="2">
        <v>-7.6200000000002877E-2</v>
      </c>
      <c r="G24" s="2">
        <v>0.3809999999999919</v>
      </c>
      <c r="H24" s="2">
        <v>-4.2875200000000007</v>
      </c>
      <c r="I24" s="2" t="s">
        <v>8</v>
      </c>
    </row>
    <row r="25" spans="2:9" x14ac:dyDescent="0.15">
      <c r="B25" s="2" t="s">
        <v>29</v>
      </c>
      <c r="C25" s="2">
        <v>1.7764537710952661</v>
      </c>
      <c r="D25" s="2">
        <v>-2.2351022437956836</v>
      </c>
      <c r="E25" s="2">
        <v>-0.42900000000000205</v>
      </c>
      <c r="F25" s="2">
        <v>1.4477999999999984</v>
      </c>
      <c r="G25" s="2">
        <v>-0.3301999999999975</v>
      </c>
      <c r="H25" s="2">
        <v>-6.0858400000000001</v>
      </c>
      <c r="I25" s="2" t="s">
        <v>8</v>
      </c>
    </row>
    <row r="26" spans="2:9" x14ac:dyDescent="0.15">
      <c r="B26" s="2" t="s">
        <v>30</v>
      </c>
      <c r="C26" s="2">
        <v>1.5471740673445702</v>
      </c>
      <c r="D26" s="2">
        <v>-2.4644783874045588</v>
      </c>
      <c r="E26" s="2">
        <v>0.4009999999999998</v>
      </c>
      <c r="F26" s="2">
        <v>1.9811999999999963</v>
      </c>
      <c r="G26" s="2">
        <v>-1.3969999999999927</v>
      </c>
      <c r="H26" s="2">
        <v>-5.5041799999999999</v>
      </c>
      <c r="I26" s="2" t="s">
        <v>8</v>
      </c>
    </row>
    <row r="27" spans="2:9" x14ac:dyDescent="0.15">
      <c r="B27" s="2" t="s">
        <v>31</v>
      </c>
      <c r="C27" s="2">
        <v>5.729578906238611E-2</v>
      </c>
      <c r="D27" s="2">
        <v>-0.34377673975997053</v>
      </c>
      <c r="E27" s="2">
        <v>4.3000000000006366E-2</v>
      </c>
      <c r="F27" s="2">
        <v>0.43179999999999968</v>
      </c>
      <c r="G27" s="2">
        <v>-0.50800000000001166</v>
      </c>
      <c r="H27" s="2">
        <v>-0.32003999999999999</v>
      </c>
      <c r="I27" s="2" t="s">
        <v>8</v>
      </c>
    </row>
    <row r="28" spans="2:9" x14ac:dyDescent="0.15">
      <c r="B28" s="2" t="s">
        <v>32</v>
      </c>
      <c r="C28" s="2">
        <v>0.34377673975997053</v>
      </c>
      <c r="D28" s="2">
        <v>0.11459163542067097</v>
      </c>
      <c r="E28" s="2">
        <v>0.10300000000000153</v>
      </c>
      <c r="F28" s="2">
        <v>0.63500000000000001</v>
      </c>
      <c r="G28" s="2">
        <v>0.20320000000000019</v>
      </c>
      <c r="H28" s="2">
        <v>-0.3175</v>
      </c>
      <c r="I28" s="2" t="s">
        <v>8</v>
      </c>
    </row>
    <row r="29" spans="2:9" x14ac:dyDescent="0.15">
      <c r="B29" s="2" t="s">
        <v>33</v>
      </c>
      <c r="C29" s="2">
        <v>-0.17188759637130041</v>
      </c>
      <c r="D29" s="2">
        <v>-0.11459163542067097</v>
      </c>
      <c r="E29" s="2">
        <v>-0.15199999999999925</v>
      </c>
      <c r="F29" s="2">
        <v>0.76199999999999513</v>
      </c>
      <c r="G29" s="2">
        <v>-0.27940000000000303</v>
      </c>
      <c r="H29" s="2">
        <v>-0.50800000000000001</v>
      </c>
      <c r="I29" s="2" t="s">
        <v>8</v>
      </c>
    </row>
    <row r="30" spans="2:9" x14ac:dyDescent="0.15">
      <c r="B30" s="2" t="s">
        <v>34</v>
      </c>
      <c r="C30" s="2">
        <v>0.34377673975997053</v>
      </c>
      <c r="D30" s="2">
        <v>-0.22918372921171254</v>
      </c>
      <c r="E30" s="2">
        <v>-0.21299999999999919</v>
      </c>
      <c r="F30" s="2">
        <v>0.66039999999999499</v>
      </c>
      <c r="G30" s="2">
        <v>-1.3716000000000068</v>
      </c>
      <c r="H30" s="2">
        <v>-0.47498000000000001</v>
      </c>
      <c r="I30" s="2" t="s">
        <v>8</v>
      </c>
    </row>
    <row r="31" spans="2:9" x14ac:dyDescent="0.15">
      <c r="B31" s="2" t="s">
        <v>35</v>
      </c>
      <c r="C31" s="2">
        <v>0.45837112548533043</v>
      </c>
      <c r="D31" s="2">
        <v>-0.34377673975997053</v>
      </c>
      <c r="E31" s="2">
        <v>3.6999999999999034E-2</v>
      </c>
      <c r="F31" s="2">
        <v>-0.45719999999997224</v>
      </c>
      <c r="G31" s="2">
        <v>-2.2098000000000049</v>
      </c>
      <c r="H31" s="2">
        <v>1.02362</v>
      </c>
      <c r="I31" s="2" t="s">
        <v>8</v>
      </c>
    </row>
    <row r="33" spans="2:9" x14ac:dyDescent="0.15">
      <c r="B33" s="2" t="s">
        <v>36</v>
      </c>
      <c r="C33" s="3">
        <f t="shared" ref="C33:H33" si="0">AVERAGE(C7:C31)</f>
        <v>0.39423810537177617</v>
      </c>
      <c r="D33" s="3">
        <f t="shared" si="0"/>
        <v>-0.79311330525811607</v>
      </c>
      <c r="E33" s="3">
        <f t="shared" si="0"/>
        <v>-6.071999999999967E-2</v>
      </c>
      <c r="F33" s="3">
        <f t="shared" si="0"/>
        <v>3.5560000000000903E-2</v>
      </c>
      <c r="G33" s="3">
        <f t="shared" si="0"/>
        <v>-0.16154399999999891</v>
      </c>
      <c r="H33" s="3">
        <f t="shared" si="0"/>
        <v>-0.59588400000000008</v>
      </c>
      <c r="I33" s="3" t="s">
        <v>8</v>
      </c>
    </row>
    <row r="34" spans="2:9" x14ac:dyDescent="0.15">
      <c r="B34" s="2" t="s">
        <v>37</v>
      </c>
      <c r="C34" s="3" cm="1">
        <f t="array" ref="C34">MAX(ABS(C7:C31))</f>
        <v>1.7764537710952661</v>
      </c>
      <c r="D34" s="3" cm="1">
        <f t="array" ref="D34">MAX(ABS(D7:D31))</f>
        <v>2.4644783874045588</v>
      </c>
      <c r="E34" s="3" cm="1">
        <f t="array" ref="E34">MAX(ABS(E7:E31))</f>
        <v>0.42900000000000205</v>
      </c>
      <c r="F34" s="3" cm="1">
        <f t="array" ref="F34">MAX(ABS(F7:F31))</f>
        <v>1.9811999999999963</v>
      </c>
      <c r="G34" s="3" cm="1">
        <f t="array" ref="G34">MAX(ABS(G7:G31))</f>
        <v>2.2098000000000049</v>
      </c>
      <c r="H34" s="3" cm="1">
        <f t="array" ref="H34">MAX(ABS(H7:H31))</f>
        <v>7.7774799999999997</v>
      </c>
      <c r="I34" s="3" t="s">
        <v>8</v>
      </c>
    </row>
    <row r="36" spans="2:9" x14ac:dyDescent="0.15">
      <c r="B36" s="11" t="s">
        <v>40</v>
      </c>
      <c r="C36" s="11"/>
      <c r="D36" s="11"/>
      <c r="E36" s="11"/>
      <c r="F36" s="11"/>
      <c r="G36" s="11"/>
      <c r="H36" s="11"/>
      <c r="I36" s="11"/>
    </row>
    <row r="37" spans="2:9" x14ac:dyDescent="0.15">
      <c r="B37" s="11"/>
      <c r="C37" s="11"/>
      <c r="D37" s="11"/>
      <c r="E37" s="11"/>
      <c r="F37" s="11"/>
      <c r="G37" s="11"/>
      <c r="H37" s="11"/>
      <c r="I37" s="11"/>
    </row>
    <row r="38" spans="2:9" x14ac:dyDescent="0.15">
      <c r="B38" s="11"/>
      <c r="C38" s="11"/>
      <c r="D38" s="11"/>
      <c r="E38" s="11"/>
      <c r="F38" s="11"/>
      <c r="G38" s="11"/>
      <c r="H38" s="11"/>
      <c r="I38" s="11"/>
    </row>
  </sheetData>
  <mergeCells count="4">
    <mergeCell ref="C6:I6"/>
    <mergeCell ref="B2:I2"/>
    <mergeCell ref="B3:I3"/>
    <mergeCell ref="B36:I3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E7BF-C7C2-E34F-94F1-B31713114C9F}">
  <dimension ref="B2:I38"/>
  <sheetViews>
    <sheetView showGridLines="0" tabSelected="1" topLeftCell="A2" zoomScale="217" workbookViewId="0">
      <selection activeCell="B20" sqref="B20"/>
    </sheetView>
  </sheetViews>
  <sheetFormatPr baseColWidth="10" defaultColWidth="9" defaultRowHeight="14" x14ac:dyDescent="0.15"/>
  <cols>
    <col min="5" max="5" width="12.19921875" bestFit="1" customWidth="1"/>
    <col min="6" max="6" width="21.3984375" customWidth="1"/>
    <col min="7" max="7" width="15.19921875" bestFit="1" customWidth="1"/>
    <col min="8" max="8" width="16.3984375" customWidth="1"/>
    <col min="9" max="9" width="12.3984375" bestFit="1" customWidth="1"/>
  </cols>
  <sheetData>
    <row r="2" spans="2:9" ht="20" x14ac:dyDescent="0.2">
      <c r="B2" s="6" t="s">
        <v>46</v>
      </c>
      <c r="C2" s="6"/>
      <c r="D2" s="6"/>
      <c r="E2" s="6"/>
      <c r="F2" s="6"/>
      <c r="G2" s="6"/>
      <c r="H2" s="6"/>
      <c r="I2" s="6"/>
    </row>
    <row r="3" spans="2:9" x14ac:dyDescent="0.15">
      <c r="B3" s="7" t="s">
        <v>1</v>
      </c>
      <c r="C3" s="8"/>
      <c r="D3" s="8"/>
      <c r="E3" s="8"/>
      <c r="F3" s="8"/>
      <c r="G3" s="8"/>
      <c r="H3" s="8"/>
      <c r="I3" s="9"/>
    </row>
    <row r="4" spans="2:9" x14ac:dyDescent="0.15">
      <c r="B4" s="1" t="s">
        <v>9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39</v>
      </c>
      <c r="I4" s="1" t="s">
        <v>7</v>
      </c>
    </row>
    <row r="5" spans="2:9" x14ac:dyDescent="0.15">
      <c r="B5" s="2" t="s">
        <v>10</v>
      </c>
      <c r="C5" s="2">
        <v>-0.22900000000000001</v>
      </c>
      <c r="D5" s="2">
        <v>0.57299999999999995</v>
      </c>
      <c r="E5" s="2">
        <v>-0.65400000000000003</v>
      </c>
      <c r="F5" s="3">
        <v>-3.157</v>
      </c>
      <c r="G5" s="3">
        <v>10.234</v>
      </c>
      <c r="H5" s="3">
        <v>19.715</v>
      </c>
      <c r="I5" s="3">
        <v>2.5249999999999999</v>
      </c>
    </row>
    <row r="6" spans="2:9" x14ac:dyDescent="0.15">
      <c r="B6" s="2"/>
      <c r="C6" s="4" t="s">
        <v>0</v>
      </c>
      <c r="D6" s="5"/>
      <c r="E6" s="5"/>
      <c r="F6" s="5"/>
      <c r="G6" s="5"/>
      <c r="H6" s="5"/>
      <c r="I6" s="5"/>
    </row>
    <row r="7" spans="2:9" x14ac:dyDescent="0.15">
      <c r="B7" s="2" t="s">
        <v>11</v>
      </c>
      <c r="C7" s="3">
        <v>-0.11459163542067097</v>
      </c>
      <c r="D7" s="3">
        <v>5.729578906238611E-2</v>
      </c>
      <c r="E7" s="3">
        <v>2.2000000000000242E-2</v>
      </c>
      <c r="F7" s="3">
        <v>-0.25399999999999456</v>
      </c>
      <c r="G7" s="3">
        <v>-0.27940000000000303</v>
      </c>
      <c r="H7" s="3">
        <v>-6.3500000000000001E-2</v>
      </c>
      <c r="I7" s="2" t="s">
        <v>8</v>
      </c>
    </row>
    <row r="8" spans="2:9" x14ac:dyDescent="0.15">
      <c r="B8" s="2" t="s">
        <v>16</v>
      </c>
      <c r="C8" s="3">
        <v>0.51566897730870676</v>
      </c>
      <c r="D8" s="3">
        <v>-0.11459163542067097</v>
      </c>
      <c r="E8" s="3">
        <v>-0.13000000000000078</v>
      </c>
      <c r="F8" s="3">
        <v>0.40640000000000037</v>
      </c>
      <c r="G8" s="3">
        <v>-0.20320000000000019</v>
      </c>
      <c r="H8" s="3">
        <v>-0.19558</v>
      </c>
      <c r="I8" s="2" t="s">
        <v>8</v>
      </c>
    </row>
    <row r="9" spans="2:9" x14ac:dyDescent="0.15">
      <c r="B9" s="2" t="s">
        <v>21</v>
      </c>
      <c r="C9" s="3">
        <v>0.11459163542067097</v>
      </c>
      <c r="D9" s="3">
        <v>0.51566897730870676</v>
      </c>
      <c r="E9" s="3">
        <v>-0.11899999999999977</v>
      </c>
      <c r="F9" s="3">
        <v>0.15240000000000575</v>
      </c>
      <c r="G9" s="3">
        <v>-0.55880000000000052</v>
      </c>
      <c r="H9" s="3">
        <v>-0.62483999999999995</v>
      </c>
      <c r="I9" s="2" t="s">
        <v>8</v>
      </c>
    </row>
    <row r="10" spans="2:9" x14ac:dyDescent="0.15">
      <c r="B10" s="2" t="s">
        <v>26</v>
      </c>
      <c r="C10" s="3">
        <v>-5.729578906238611E-2</v>
      </c>
      <c r="D10" s="3">
        <v>-0.28648009124091034</v>
      </c>
      <c r="E10" s="3">
        <v>-0.18200000000000216</v>
      </c>
      <c r="F10" s="3">
        <v>-0.73659999999999781</v>
      </c>
      <c r="G10" s="3">
        <v>-0.99059999999999226</v>
      </c>
      <c r="H10" s="3">
        <v>-0.94996000000000003</v>
      </c>
      <c r="I10" s="2" t="s">
        <v>8</v>
      </c>
    </row>
    <row r="11" spans="2:9" x14ac:dyDescent="0.15">
      <c r="B11" s="2" t="s">
        <v>31</v>
      </c>
      <c r="C11" s="3">
        <v>-0.22918372921171254</v>
      </c>
      <c r="D11" s="3">
        <v>-0.68756585641085832</v>
      </c>
      <c r="E11" s="3">
        <v>-0.18500000000000227</v>
      </c>
      <c r="F11" s="3">
        <v>-1.6001999999999927</v>
      </c>
      <c r="G11" s="3">
        <v>-0.7619999999999838</v>
      </c>
      <c r="H11" s="3">
        <v>0.50546000000000002</v>
      </c>
      <c r="I11" s="2" t="s">
        <v>8</v>
      </c>
    </row>
    <row r="12" spans="2:9" x14ac:dyDescent="0.15">
      <c r="B12" s="2" t="s">
        <v>12</v>
      </c>
      <c r="C12" s="3">
        <v>-0.91677159063474134</v>
      </c>
      <c r="D12" s="3">
        <v>0.68756585641085832</v>
      </c>
      <c r="E12" s="3">
        <v>-5.1000000000001933E-2</v>
      </c>
      <c r="F12" s="3">
        <v>-0.63499999999999779</v>
      </c>
      <c r="G12" s="3">
        <v>0.20320000000000019</v>
      </c>
      <c r="H12" s="3">
        <v>-0.62991999999999992</v>
      </c>
      <c r="I12" s="2" t="s">
        <v>8</v>
      </c>
    </row>
    <row r="13" spans="2:9" x14ac:dyDescent="0.15">
      <c r="B13" s="2" t="s">
        <v>17</v>
      </c>
      <c r="C13" s="3">
        <v>-0.85946892483581838</v>
      </c>
      <c r="D13" s="3">
        <v>-0.68756585641085832</v>
      </c>
      <c r="E13" s="3">
        <v>-2.5999999999996248E-2</v>
      </c>
      <c r="F13" s="3">
        <v>-0.17780000000000298</v>
      </c>
      <c r="G13" s="3">
        <v>-0.635000000000009</v>
      </c>
      <c r="H13" s="3">
        <v>-0.64007999999999998</v>
      </c>
      <c r="I13" s="2" t="s">
        <v>8</v>
      </c>
    </row>
    <row r="14" spans="2:9" x14ac:dyDescent="0.15">
      <c r="B14" s="2" t="s">
        <v>22</v>
      </c>
      <c r="C14" s="3">
        <v>-0.40107373207252695</v>
      </c>
      <c r="D14" s="3">
        <v>-0.40107373207252695</v>
      </c>
      <c r="E14" s="3">
        <v>0.1720000000000006</v>
      </c>
      <c r="F14" s="3">
        <v>-0.3302000000000031</v>
      </c>
      <c r="G14" s="3">
        <v>-0.45719999999999478</v>
      </c>
      <c r="H14" s="3">
        <v>0.40386000000000005</v>
      </c>
      <c r="I14" s="2" t="s">
        <v>8</v>
      </c>
    </row>
    <row r="15" spans="2:9" x14ac:dyDescent="0.15">
      <c r="B15" s="2" t="s">
        <v>27</v>
      </c>
      <c r="C15" s="3">
        <v>-0.17188759637130041</v>
      </c>
      <c r="D15" s="3">
        <v>-0.17188759637130041</v>
      </c>
      <c r="E15" s="3">
        <v>0.24099999999999966</v>
      </c>
      <c r="F15" s="3">
        <v>-0.93979999999999786</v>
      </c>
      <c r="G15" s="3">
        <v>0.35559999999998337</v>
      </c>
      <c r="H15" s="3">
        <v>0.67055999999999993</v>
      </c>
      <c r="I15" s="2" t="s">
        <v>8</v>
      </c>
    </row>
    <row r="16" spans="2:9" x14ac:dyDescent="0.15">
      <c r="B16" s="2" t="s">
        <v>32</v>
      </c>
      <c r="C16" s="3">
        <v>-0.34377673975997053</v>
      </c>
      <c r="D16" s="3">
        <v>-0.22918372921171254</v>
      </c>
      <c r="E16" s="3">
        <v>-0.26199999999999868</v>
      </c>
      <c r="F16" s="3">
        <v>-1.0160000000000233</v>
      </c>
      <c r="G16" s="3">
        <v>1.32079999999999</v>
      </c>
      <c r="H16" s="3">
        <v>1.2852399999999999</v>
      </c>
      <c r="I16" s="2" t="s">
        <v>8</v>
      </c>
    </row>
    <row r="17" spans="2:9" x14ac:dyDescent="0.15">
      <c r="B17" s="2" t="s">
        <v>13</v>
      </c>
      <c r="C17" s="3">
        <v>5.729578906238611E-2</v>
      </c>
      <c r="D17" s="3">
        <v>0.22918372921171254</v>
      </c>
      <c r="E17" s="3">
        <v>-9.100000000000108E-2</v>
      </c>
      <c r="F17" s="3">
        <v>5.0800000000005688E-2</v>
      </c>
      <c r="G17" s="3">
        <v>0.53339999999999765</v>
      </c>
      <c r="H17" s="3">
        <v>-9.6520000000000009E-2</v>
      </c>
      <c r="I17" s="2" t="s">
        <v>8</v>
      </c>
    </row>
    <row r="18" spans="2:9" x14ac:dyDescent="0.15">
      <c r="B18" s="2" t="s">
        <v>18</v>
      </c>
      <c r="C18" s="3">
        <v>-0.97407517351896133</v>
      </c>
      <c r="D18" s="3">
        <v>5.729578906238611E-2</v>
      </c>
      <c r="E18" s="3">
        <v>-0.12000000000000099</v>
      </c>
      <c r="F18" s="3">
        <v>-0.63499999999999779</v>
      </c>
      <c r="G18" s="3">
        <v>5.0799999999994405E-2</v>
      </c>
      <c r="H18" s="3">
        <v>0.13716</v>
      </c>
      <c r="I18" s="2" t="s">
        <v>8</v>
      </c>
    </row>
    <row r="19" spans="2:9" x14ac:dyDescent="0.15">
      <c r="B19" s="2" t="s">
        <v>23</v>
      </c>
      <c r="C19" s="3">
        <v>-0.57296734485715439</v>
      </c>
      <c r="D19" s="3">
        <v>-0.57296734485715439</v>
      </c>
      <c r="E19" s="3">
        <v>-0.19200000000000017</v>
      </c>
      <c r="F19" s="3">
        <v>-0.15240000000000575</v>
      </c>
      <c r="G19" s="3">
        <v>0.40640000000000037</v>
      </c>
      <c r="H19" s="3">
        <v>0.61975999999999998</v>
      </c>
      <c r="I19" s="2" t="s">
        <v>8</v>
      </c>
    </row>
    <row r="20" spans="2:9" x14ac:dyDescent="0.15">
      <c r="B20" s="2" t="s">
        <v>28</v>
      </c>
      <c r="C20" s="3">
        <v>1.6618105918581287</v>
      </c>
      <c r="D20" s="3">
        <v>-2.8086178769206218</v>
      </c>
      <c r="E20" s="3">
        <v>-8.2000000000000739E-2</v>
      </c>
      <c r="F20" s="3">
        <v>0.81280000000000074</v>
      </c>
      <c r="G20" s="3">
        <v>1.168400000000001</v>
      </c>
      <c r="H20" s="3">
        <v>-1.40462</v>
      </c>
      <c r="I20" s="2" t="s">
        <v>8</v>
      </c>
    </row>
    <row r="21" spans="2:9" x14ac:dyDescent="0.15">
      <c r="B21" s="2" t="s">
        <v>33</v>
      </c>
      <c r="C21" s="3">
        <v>1.6618105918581287</v>
      </c>
      <c r="D21" s="3">
        <v>-2.6938940605696575</v>
      </c>
      <c r="E21" s="3">
        <v>-0.14000000000000057</v>
      </c>
      <c r="F21" s="3">
        <v>1.5240000000000127</v>
      </c>
      <c r="G21" s="3">
        <v>1.6001999999999927</v>
      </c>
      <c r="H21" s="3">
        <v>-10.10666</v>
      </c>
      <c r="I21" s="2" t="s">
        <v>8</v>
      </c>
    </row>
    <row r="22" spans="2:9" x14ac:dyDescent="0.15">
      <c r="B22" s="2" t="s">
        <v>14</v>
      </c>
      <c r="C22" s="3">
        <v>0.74486611507034006</v>
      </c>
      <c r="D22" s="3">
        <v>-0.11459163542067097</v>
      </c>
      <c r="E22" s="3">
        <v>9.4999999999998863E-2</v>
      </c>
      <c r="F22" s="3">
        <v>0.5842000000000146</v>
      </c>
      <c r="G22" s="3">
        <v>0.15240000000000012</v>
      </c>
      <c r="H22" s="3">
        <v>-0.38862000000000002</v>
      </c>
      <c r="I22" s="2" t="s">
        <v>8</v>
      </c>
    </row>
    <row r="23" spans="2:9" x14ac:dyDescent="0.15">
      <c r="B23" s="2" t="s">
        <v>19</v>
      </c>
      <c r="C23" s="3">
        <v>2.1777639512803701</v>
      </c>
      <c r="D23" s="3">
        <v>-1.6044915265155861</v>
      </c>
      <c r="E23" s="3">
        <v>7.4999999999995737E-2</v>
      </c>
      <c r="F23" s="3">
        <v>7.6200000000002877E-2</v>
      </c>
      <c r="G23" s="3">
        <v>0.58419999999999772</v>
      </c>
      <c r="H23" s="3">
        <v>-2.3850600000000002</v>
      </c>
      <c r="I23" s="2" t="s">
        <v>8</v>
      </c>
    </row>
    <row r="24" spans="2:9" x14ac:dyDescent="0.15">
      <c r="B24" s="2" t="s">
        <v>24</v>
      </c>
      <c r="C24" s="3">
        <v>2.2924427759558896</v>
      </c>
      <c r="D24" s="3">
        <v>-1.9484320243765998</v>
      </c>
      <c r="E24" s="3">
        <v>-0.13599999999999568</v>
      </c>
      <c r="F24" s="3">
        <v>-0.2540000000000171</v>
      </c>
      <c r="G24" s="3">
        <v>0.22859999999998612</v>
      </c>
      <c r="H24" s="3">
        <v>-4.7320200000000003</v>
      </c>
      <c r="I24" s="2" t="s">
        <v>8</v>
      </c>
    </row>
    <row r="25" spans="2:9" x14ac:dyDescent="0.15">
      <c r="B25" s="2" t="s">
        <v>29</v>
      </c>
      <c r="C25" s="3">
        <v>2.1204278407307431</v>
      </c>
      <c r="D25" s="3">
        <v>-3.2676304857208183</v>
      </c>
      <c r="E25" s="3">
        <v>-0.40399999999999636</v>
      </c>
      <c r="F25" s="3">
        <v>1.1429999999999982</v>
      </c>
      <c r="G25" s="3">
        <v>-0.30480000000001151</v>
      </c>
      <c r="H25" s="3">
        <v>-6.9164200000000005</v>
      </c>
      <c r="I25" s="2" t="s">
        <v>8</v>
      </c>
    </row>
    <row r="26" spans="2:9" x14ac:dyDescent="0.15">
      <c r="B26" s="2" t="s">
        <v>34</v>
      </c>
      <c r="C26" s="3">
        <v>1.7764537710952661</v>
      </c>
      <c r="D26" s="3">
        <v>-3.5546181403899748</v>
      </c>
      <c r="E26" s="3">
        <v>0.36799999999999855</v>
      </c>
      <c r="F26" s="3">
        <v>1.6001999999999927</v>
      </c>
      <c r="G26" s="3">
        <v>-1.32079999999999</v>
      </c>
      <c r="H26" s="3">
        <v>-6.9341999999999997</v>
      </c>
      <c r="I26" s="2" t="s">
        <v>8</v>
      </c>
    </row>
    <row r="27" spans="2:9" x14ac:dyDescent="0.15">
      <c r="B27" s="2" t="s">
        <v>15</v>
      </c>
      <c r="C27" s="3">
        <v>5.729578906238611E-2</v>
      </c>
      <c r="D27" s="3">
        <v>-0.40107373207252695</v>
      </c>
      <c r="E27" s="3">
        <v>2.1000000000000796E-2</v>
      </c>
      <c r="F27" s="3">
        <v>0.33019999999999955</v>
      </c>
      <c r="G27" s="3">
        <v>-0.48260000000000325</v>
      </c>
      <c r="H27" s="3">
        <v>-0.14224000000000001</v>
      </c>
      <c r="I27" s="2" t="s">
        <v>8</v>
      </c>
    </row>
    <row r="28" spans="2:9" x14ac:dyDescent="0.15">
      <c r="B28" s="2" t="s">
        <v>20</v>
      </c>
      <c r="C28" s="3">
        <v>0.28648009124091034</v>
      </c>
      <c r="D28" s="3">
        <v>0</v>
      </c>
      <c r="E28" s="3">
        <v>0.11300000000000665</v>
      </c>
      <c r="F28" s="3">
        <v>0.55880000000000019</v>
      </c>
      <c r="G28" s="3">
        <v>0.17779999999999169</v>
      </c>
      <c r="H28" s="3">
        <v>-0.24384</v>
      </c>
      <c r="I28" s="2" t="s">
        <v>8</v>
      </c>
    </row>
    <row r="29" spans="2:9" x14ac:dyDescent="0.15">
      <c r="B29" s="2" t="s">
        <v>25</v>
      </c>
      <c r="C29" s="3">
        <v>-0.74486611507034006</v>
      </c>
      <c r="D29" s="3">
        <v>0</v>
      </c>
      <c r="E29" s="3">
        <v>-4.5999999999999375E-2</v>
      </c>
      <c r="F29" s="3">
        <v>0.81280000000000074</v>
      </c>
      <c r="G29" s="3">
        <v>-0.30479999999998902</v>
      </c>
      <c r="H29" s="3">
        <v>-0.63754</v>
      </c>
      <c r="I29" s="2" t="s">
        <v>8</v>
      </c>
    </row>
    <row r="30" spans="2:9" x14ac:dyDescent="0.15">
      <c r="B30" s="2" t="s">
        <v>30</v>
      </c>
      <c r="C30" s="3">
        <v>-0.45837112548533043</v>
      </c>
      <c r="D30" s="3">
        <v>-0.45837112548533043</v>
      </c>
      <c r="E30" s="3">
        <v>-0.17999999999999972</v>
      </c>
      <c r="F30" s="3">
        <v>0.58419999999999206</v>
      </c>
      <c r="G30" s="3">
        <v>-1.2192000000000009</v>
      </c>
      <c r="H30" s="3">
        <v>-1.8465800000000001</v>
      </c>
      <c r="I30" s="2" t="s">
        <v>8</v>
      </c>
    </row>
    <row r="31" spans="2:9" x14ac:dyDescent="0.15">
      <c r="B31" s="2" t="s">
        <v>35</v>
      </c>
      <c r="C31" s="3">
        <v>-0.22918372921171254</v>
      </c>
      <c r="D31" s="3">
        <v>-0.57296734485715439</v>
      </c>
      <c r="E31" s="3">
        <v>0.11399999999999721</v>
      </c>
      <c r="F31" s="3">
        <v>-0.91439999999998955</v>
      </c>
      <c r="G31" s="3">
        <v>-1.9558000000000044</v>
      </c>
      <c r="H31" s="3">
        <v>-1.4300199999999998</v>
      </c>
      <c r="I31" s="2" t="s">
        <v>8</v>
      </c>
    </row>
    <row r="33" spans="2:9" x14ac:dyDescent="0.15">
      <c r="B33" s="2" t="s">
        <v>36</v>
      </c>
      <c r="C33" s="3">
        <f t="shared" ref="C33:H33" si="0">AVERAGE(C7:C31)</f>
        <v>0.29573578777725212</v>
      </c>
      <c r="D33" s="3">
        <f t="shared" si="0"/>
        <v>-0.76115974613075554</v>
      </c>
      <c r="E33" s="3">
        <f t="shared" si="0"/>
        <v>-4.4999999999999929E-2</v>
      </c>
      <c r="F33" s="3">
        <f t="shared" si="0"/>
        <v>3.9624000000000249E-2</v>
      </c>
      <c r="G33" s="3">
        <f t="shared" si="0"/>
        <v>-0.10769600000000193</v>
      </c>
      <c r="H33" s="3">
        <f t="shared" si="0"/>
        <v>-1.4698472</v>
      </c>
      <c r="I33" s="3" t="s">
        <v>8</v>
      </c>
    </row>
    <row r="34" spans="2:9" x14ac:dyDescent="0.15">
      <c r="B34" s="2" t="s">
        <v>37</v>
      </c>
      <c r="C34" s="3" cm="1">
        <f t="array" ref="C34">MAX(ABS(C7:C31))</f>
        <v>2.2924427759558896</v>
      </c>
      <c r="D34" s="3" cm="1">
        <f t="array" ref="D34">MAX(ABS(D7:D31))</f>
        <v>3.5546181403899748</v>
      </c>
      <c r="E34" s="3" cm="1">
        <f t="array" ref="E34">MAX(ABS(E7:E31))</f>
        <v>0.40399999999999636</v>
      </c>
      <c r="F34" s="3" cm="1">
        <f t="array" ref="F34">MAX(ABS(F7:F31))</f>
        <v>1.6001999999999927</v>
      </c>
      <c r="G34" s="3" cm="1">
        <f t="array" ref="G34">MAX(ABS(G7:G31))</f>
        <v>1.9558000000000044</v>
      </c>
      <c r="H34" s="3" cm="1">
        <f t="array" ref="H34">MAX(ABS(H7:H31))</f>
        <v>10.10666</v>
      </c>
      <c r="I34" s="3" t="s">
        <v>8</v>
      </c>
    </row>
    <row r="36" spans="2:9" x14ac:dyDescent="0.15">
      <c r="B36" s="11" t="s">
        <v>40</v>
      </c>
      <c r="C36" s="11"/>
      <c r="D36" s="11"/>
      <c r="E36" s="11"/>
      <c r="F36" s="11"/>
      <c r="G36" s="11"/>
      <c r="H36" s="11"/>
      <c r="I36" s="11"/>
    </row>
    <row r="37" spans="2:9" x14ac:dyDescent="0.15">
      <c r="B37" s="11"/>
      <c r="C37" s="11"/>
      <c r="D37" s="11"/>
      <c r="E37" s="11"/>
      <c r="F37" s="11"/>
      <c r="G37" s="11"/>
      <c r="H37" s="11"/>
      <c r="I37" s="11"/>
    </row>
    <row r="38" spans="2:9" x14ac:dyDescent="0.15">
      <c r="B38" s="11"/>
      <c r="C38" s="11"/>
      <c r="D38" s="11"/>
      <c r="E38" s="11"/>
      <c r="F38" s="11"/>
      <c r="G38" s="11"/>
      <c r="H38" s="11"/>
      <c r="I38" s="11"/>
    </row>
  </sheetData>
  <mergeCells count="4">
    <mergeCell ref="C6:I6"/>
    <mergeCell ref="B2:I2"/>
    <mergeCell ref="B3:I3"/>
    <mergeCell ref="B36:I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Deployment1</vt:lpstr>
      <vt:lpstr>Deployment2</vt:lpstr>
      <vt:lpstr>Deployment3</vt:lpstr>
      <vt:lpstr>Deployment4</vt:lpstr>
    </vt:vector>
  </TitlesOfParts>
  <Company>MMA Design,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Peter</dc:creator>
  <cp:lastModifiedBy>Jake Sutton</cp:lastModifiedBy>
  <dcterms:created xsi:type="dcterms:W3CDTF">2026-01-15T23:43:18Z</dcterms:created>
  <dcterms:modified xsi:type="dcterms:W3CDTF">2026-04-13T20:18:49Z</dcterms:modified>
</cp:coreProperties>
</file>